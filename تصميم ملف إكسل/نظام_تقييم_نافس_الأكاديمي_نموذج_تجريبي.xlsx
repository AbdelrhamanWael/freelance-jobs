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واجهة الرئيسية" sheetId="1" state="visible" r:id="rId1"/>
    <sheet xmlns:r="http://schemas.openxmlformats.org/officeDocument/2006/relationships" name="قاعدة الأسماء" sheetId="2" state="visible" r:id="rId2"/>
    <sheet xmlns:r="http://schemas.openxmlformats.org/officeDocument/2006/relationships" name="الاختبار القبلي" sheetId="3" state="visible" r:id="rId3"/>
    <sheet xmlns:r="http://schemas.openxmlformats.org/officeDocument/2006/relationships" name="خطط قبلية" sheetId="4" state="visible" r:id="rId4"/>
    <sheet xmlns:r="http://schemas.openxmlformats.org/officeDocument/2006/relationships" name="التدريبات" sheetId="5" state="visible" r:id="rId5"/>
    <sheet xmlns:r="http://schemas.openxmlformats.org/officeDocument/2006/relationships" name="الاختبار البعدي" sheetId="6" state="visible" r:id="rId6"/>
    <sheet xmlns:r="http://schemas.openxmlformats.org/officeDocument/2006/relationships" name="خطط بعدية" sheetId="7" state="visible" r:id="rId7"/>
    <sheet xmlns:r="http://schemas.openxmlformats.org/officeDocument/2006/relationships" name="مقارنة قبلي بعدي" sheetId="8" state="visible" r:id="rId8"/>
    <sheet xmlns:r="http://schemas.openxmlformats.org/officeDocument/2006/relationships" name="الاختبار النهائي" sheetId="9" state="visible" r:id="rId9"/>
    <sheet xmlns:r="http://schemas.openxmlformats.org/officeDocument/2006/relationships" name="لوحة التحليل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+0.0;-0.0;0"/>
    <numFmt numFmtId="167" formatCode="+0.00;-0.00;0"/>
  </numFmts>
  <fonts count="38">
    <font>
      <name val="Calibri"/>
      <family val="2"/>
      <color theme="1"/>
      <sz val="11"/>
      <scheme val="minor"/>
    </font>
    <font>
      <name val="Arial"/>
      <b val="1"/>
      <color rgb="000D7377"/>
      <sz val="10"/>
    </font>
    <font>
      <name val="Arial"/>
      <b val="1"/>
      <color rgb="00C9A84C"/>
      <sz val="22"/>
    </font>
    <font>
      <name val="Arial"/>
      <b val="1"/>
      <color rgb="00FFFFFF"/>
      <sz val="14"/>
    </font>
    <font>
      <name val="Arial"/>
      <b val="1"/>
      <color rgb="001A2F5A"/>
      <sz val="11"/>
    </font>
    <font>
      <name val="Arial"/>
      <b val="1"/>
      <color rgb="00C9A84C"/>
      <sz val="11"/>
    </font>
    <font>
      <name val="Arial"/>
      <b val="1"/>
      <color rgb="00FFFFFF"/>
      <sz val="13"/>
    </font>
    <font>
      <name val="Arial"/>
      <color rgb="00FFF3CD"/>
      <sz val="9"/>
    </font>
    <font>
      <name val="Arial"/>
      <b val="1"/>
      <color rgb="00C9A84C"/>
      <sz val="16"/>
    </font>
    <font>
      <name val="Arial"/>
      <color rgb="00FFFFFF"/>
      <sz val="10"/>
    </font>
    <font>
      <name val="Arial"/>
      <b val="1"/>
      <color rgb="001A2F5A"/>
      <sz val="10"/>
    </font>
    <font>
      <name val="Arial"/>
      <color rgb="002D2D2D"/>
      <sz val="10"/>
    </font>
    <font>
      <name val="Arial"/>
      <color rgb="000D7377"/>
      <sz val="10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sz val="10"/>
    </font>
    <font>
      <name val="Arial"/>
      <b val="1"/>
      <color rgb="00C9A84C"/>
      <sz val="14"/>
    </font>
    <font>
      <name val="Arial"/>
      <b val="1"/>
      <color rgb="00FFFFFF"/>
      <sz val="10"/>
    </font>
    <font>
      <name val="Arial"/>
      <b val="1"/>
      <color rgb="001A2F5A"/>
      <sz val="9"/>
    </font>
    <font>
      <name val="Arial"/>
      <b val="1"/>
      <color rgb="002D2D2D"/>
      <sz val="10"/>
    </font>
    <font>
      <name val="Arial"/>
      <b val="1"/>
      <color rgb="00276221"/>
      <sz val="10"/>
    </font>
    <font>
      <name val="Arial"/>
      <b val="1"/>
      <color rgb="009C6500"/>
      <sz val="10"/>
    </font>
    <font>
      <name val="Arial"/>
      <b val="1"/>
      <color rgb="009C0006"/>
      <sz val="10"/>
    </font>
    <font>
      <name val="Arial"/>
      <b val="1"/>
      <color rgb="00FFFFFF"/>
      <sz val="12"/>
    </font>
    <font>
      <name val="Arial"/>
      <b val="1"/>
      <sz val="9"/>
    </font>
    <font>
      <name val="Arial"/>
      <b val="1"/>
      <color rgb="00C9A84C"/>
      <sz val="15"/>
    </font>
    <font>
      <name val="Arial"/>
      <color rgb="002D2D2D"/>
      <sz val="9"/>
    </font>
    <font>
      <name val="Arial"/>
      <b val="1"/>
      <color rgb="00FFFFFF"/>
      <sz val="15"/>
    </font>
    <font>
      <name val="Arial"/>
      <b val="1"/>
      <color rgb="006A0572"/>
      <sz val="10"/>
    </font>
    <font>
      <name val="Arial"/>
      <b val="1"/>
      <color rgb="00C9A84C"/>
      <sz val="13"/>
    </font>
    <font>
      <name val="Arial"/>
      <b val="1"/>
      <color rgb="00FFFFFF"/>
      <sz val="11"/>
    </font>
    <font>
      <name val="Arial"/>
      <color rgb="001A2F5A"/>
      <sz val="10"/>
    </font>
    <font>
      <name val="Arial"/>
      <b val="1"/>
      <color rgb="002D2D2D"/>
      <sz val="11"/>
    </font>
    <font>
      <name val="Arial"/>
      <color rgb="00FFFFFF"/>
      <sz val="11"/>
    </font>
    <font>
      <name val="Arial"/>
      <b val="1"/>
      <color rgb="00FFFFFF"/>
      <sz val="18"/>
    </font>
    <font>
      <name val="Arial"/>
      <b val="1"/>
      <color rgb="00C9A84C"/>
      <sz val="12"/>
    </font>
    <font>
      <name val="Arial"/>
      <color rgb="006A0572"/>
      <sz val="10"/>
    </font>
    <font>
      <name val="Arial"/>
      <sz val="9"/>
    </font>
  </fonts>
  <fills count="26">
    <fill>
      <patternFill/>
    </fill>
    <fill>
      <patternFill patternType="gray125"/>
    </fill>
    <fill>
      <patternFill patternType="solid">
        <fgColor rgb="00E8F4F8"/>
      </patternFill>
    </fill>
    <fill>
      <patternFill patternType="solid">
        <fgColor rgb="001A2F5A"/>
      </patternFill>
    </fill>
    <fill>
      <patternFill patternType="solid">
        <fgColor rgb="000D7377"/>
      </patternFill>
    </fill>
    <fill>
      <patternFill patternType="solid">
        <fgColor rgb="00C9A84C"/>
      </patternFill>
    </fill>
    <fill>
      <patternFill patternType="solid">
        <fgColor rgb="006A0572"/>
      </patternFill>
    </fill>
    <fill>
      <patternFill patternType="solid">
        <fgColor rgb="000F4C75"/>
      </patternFill>
    </fill>
    <fill>
      <patternFill patternType="solid">
        <fgColor rgb="001B4332"/>
      </patternFill>
    </fill>
    <fill>
      <patternFill patternType="solid">
        <fgColor rgb="007B2D8B"/>
      </patternFill>
    </fill>
    <fill>
      <patternFill patternType="solid">
        <fgColor rgb="00C0392B"/>
      </patternFill>
    </fill>
    <fill>
      <patternFill patternType="solid">
        <fgColor rgb="001A5276"/>
      </patternFill>
    </fill>
    <fill>
      <patternFill patternType="solid">
        <fgColor rgb="00784212"/>
      </patternFill>
    </fill>
    <fill>
      <patternFill patternType="solid">
        <fgColor rgb="000B6E4F"/>
      </patternFill>
    </fill>
    <fill>
      <patternFill patternType="solid">
        <fgColor rgb="002D2D2D"/>
      </patternFill>
    </fill>
    <fill>
      <patternFill patternType="solid">
        <fgColor rgb="00FFFFFF"/>
      </patternFill>
    </fill>
    <fill>
      <patternFill patternType="solid">
        <fgColor rgb="00D6F0EE"/>
      </patternFill>
    </fill>
    <fill>
      <patternFill patternType="solid">
        <fgColor rgb="00FFF3CD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2DC653"/>
      </patternFill>
    </fill>
    <fill>
      <patternFill patternType="solid">
        <fgColor rgb="00F4A261"/>
      </patternFill>
    </fill>
    <fill>
      <patternFill patternType="solid">
        <fgColor rgb="00E63946"/>
      </patternFill>
    </fill>
  </fills>
  <borders count="7">
    <border>
      <left/>
      <right/>
      <top/>
      <bottom/>
      <diagonal/>
    </border>
    <border>
      <left style="medium">
        <color rgb="001A2F5A"/>
      </left>
      <right style="medium">
        <color rgb="001A2F5A"/>
      </right>
      <top style="medium">
        <color rgb="001A2F5A"/>
      </top>
      <bottom style="medium">
        <color rgb="001A2F5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 readingOrder="2"/>
    </xf>
    <xf numFmtId="0" fontId="3" fillId="4" borderId="1" applyAlignment="1" pivotButton="0" quotePrefix="0" xfId="0">
      <alignment horizontal="center" vertical="center" wrapText="1" readingOrder="2"/>
    </xf>
    <xf numFmtId="0" fontId="4" fillId="5" borderId="1" applyAlignment="1" pivotButton="0" quotePrefix="0" xfId="0">
      <alignment horizontal="center" vertical="center" wrapText="1" readingOrder="2"/>
    </xf>
    <xf numFmtId="0" fontId="1" fillId="2" borderId="1" applyAlignment="1" pivotButton="0" quotePrefix="0" xfId="0">
      <alignment horizontal="center" vertical="center" wrapText="1" readingOrder="2"/>
    </xf>
    <xf numFmtId="0" fontId="5" fillId="3" borderId="1" applyAlignment="1" pivotButton="0" quotePrefix="0" xfId="0">
      <alignment horizontal="center" vertical="center" readingOrder="2"/>
    </xf>
    <xf numFmtId="0" fontId="5" fillId="4" borderId="1" applyAlignment="1" pivotButton="0" quotePrefix="0" xfId="0">
      <alignment horizontal="center" vertical="center" readingOrder="2"/>
    </xf>
    <xf numFmtId="0" fontId="5" fillId="6" borderId="1" applyAlignment="1" pivotButton="0" quotePrefix="0" xfId="0">
      <alignment horizontal="center" vertical="center" readingOrder="2"/>
    </xf>
    <xf numFmtId="0" fontId="5" fillId="7" borderId="1" applyAlignment="1" pivotButton="0" quotePrefix="0" xfId="0">
      <alignment horizontal="center" vertical="center" readingOrder="2"/>
    </xf>
    <xf numFmtId="0" fontId="5" fillId="8" borderId="1" applyAlignment="1" pivotButton="0" quotePrefix="0" xfId="0">
      <alignment horizontal="center" vertical="center" readingOrder="2"/>
    </xf>
    <xf numFmtId="0" fontId="6" fillId="3" borderId="1" applyAlignment="1" pivotButton="0" quotePrefix="0" xfId="0">
      <alignment horizontal="center" vertical="center" wrapText="1" readingOrder="2"/>
    </xf>
    <xf numFmtId="0" fontId="6" fillId="4" borderId="1" applyAlignment="1" pivotButton="0" quotePrefix="0" xfId="0">
      <alignment horizontal="center" vertical="center" wrapText="1" readingOrder="2"/>
    </xf>
    <xf numFmtId="0" fontId="6" fillId="6" borderId="1" applyAlignment="1" pivotButton="0" quotePrefix="0" xfId="0">
      <alignment horizontal="center" vertical="center" wrapText="1" readingOrder="2"/>
    </xf>
    <xf numFmtId="0" fontId="6" fillId="7" borderId="1" applyAlignment="1" pivotButton="0" quotePrefix="0" xfId="0">
      <alignment horizontal="center" vertical="center" wrapText="1" readingOrder="2"/>
    </xf>
    <xf numFmtId="0" fontId="6" fillId="8" borderId="1" applyAlignment="1" pivotButton="0" quotePrefix="0" xfId="0">
      <alignment horizontal="center" vertical="center" wrapText="1" readingOrder="2"/>
    </xf>
    <xf numFmtId="0" fontId="0" fillId="5" borderId="1" pivotButton="0" quotePrefix="0" xfId="0"/>
    <xf numFmtId="0" fontId="5" fillId="9" borderId="1" applyAlignment="1" pivotButton="0" quotePrefix="0" xfId="0">
      <alignment horizontal="center" vertical="center" readingOrder="2"/>
    </xf>
    <xf numFmtId="0" fontId="5" fillId="10" borderId="1" applyAlignment="1" pivotButton="0" quotePrefix="0" xfId="0">
      <alignment horizontal="center" vertical="center" readingOrder="2"/>
    </xf>
    <xf numFmtId="0" fontId="5" fillId="11" borderId="1" applyAlignment="1" pivotButton="0" quotePrefix="0" xfId="0">
      <alignment horizontal="center" vertical="center" readingOrder="2"/>
    </xf>
    <xf numFmtId="0" fontId="5" fillId="12" borderId="1" applyAlignment="1" pivotButton="0" quotePrefix="0" xfId="0">
      <alignment horizontal="center" vertical="center" readingOrder="2"/>
    </xf>
    <xf numFmtId="0" fontId="5" fillId="13" borderId="1" applyAlignment="1" pivotButton="0" quotePrefix="0" xfId="0">
      <alignment horizontal="center" vertical="center" readingOrder="2"/>
    </xf>
    <xf numFmtId="0" fontId="6" fillId="9" borderId="1" applyAlignment="1" pivotButton="0" quotePrefix="0" xfId="0">
      <alignment horizontal="center" vertical="center" wrapText="1" readingOrder="2"/>
    </xf>
    <xf numFmtId="0" fontId="6" fillId="10" borderId="1" applyAlignment="1" pivotButton="0" quotePrefix="0" xfId="0">
      <alignment horizontal="center" vertical="center" wrapText="1" readingOrder="2"/>
    </xf>
    <xf numFmtId="0" fontId="6" fillId="11" borderId="1" applyAlignment="1" pivotButton="0" quotePrefix="0" xfId="0">
      <alignment horizontal="center" vertical="center" wrapText="1" readingOrder="2"/>
    </xf>
    <xf numFmtId="0" fontId="6" fillId="12" borderId="1" applyAlignment="1" pivotButton="0" quotePrefix="0" xfId="0">
      <alignment horizontal="center" vertical="center" wrapText="1" readingOrder="2"/>
    </xf>
    <xf numFmtId="0" fontId="6" fillId="13" borderId="1" applyAlignment="1" pivotButton="0" quotePrefix="0" xfId="0">
      <alignment horizontal="center" vertical="center" wrapText="1" readingOrder="2"/>
    </xf>
    <xf numFmtId="0" fontId="7" fillId="14" borderId="1" applyAlignment="1" pivotButton="0" quotePrefix="0" xfId="0">
      <alignment horizontal="center" vertical="center" wrapText="1" readingOrder="2"/>
    </xf>
    <xf numFmtId="0" fontId="8" fillId="3" borderId="1" applyAlignment="1" pivotButton="0" quotePrefix="0" xfId="0">
      <alignment horizontal="center" vertical="center" wrapText="1" readingOrder="2"/>
    </xf>
    <xf numFmtId="0" fontId="9" fillId="4" borderId="1" applyAlignment="1" pivotButton="0" quotePrefix="0" xfId="0">
      <alignment horizontal="center" vertical="center" wrapText="1" readingOrder="2"/>
    </xf>
    <xf numFmtId="0" fontId="4" fillId="5" borderId="2" applyAlignment="1" pivotButton="0" quotePrefix="0" xfId="0">
      <alignment horizontal="center" vertical="center" wrapText="1" readingOrder="2"/>
    </xf>
    <xf numFmtId="0" fontId="10" fillId="15" borderId="2" applyAlignment="1" pivotButton="0" quotePrefix="0" xfId="0">
      <alignment horizontal="center" vertical="center" wrapText="1" readingOrder="2"/>
    </xf>
    <xf numFmtId="0" fontId="11" fillId="15" borderId="2" applyAlignment="1" pivotButton="0" quotePrefix="0" xfId="0">
      <alignment horizontal="right" vertical="center" wrapText="1" readingOrder="2"/>
    </xf>
    <xf numFmtId="0" fontId="11" fillId="15" borderId="2" applyAlignment="1" pivotButton="0" quotePrefix="0" xfId="0">
      <alignment horizontal="center" vertical="center" wrapText="1" readingOrder="2"/>
    </xf>
    <xf numFmtId="0" fontId="12" fillId="15" borderId="2" applyAlignment="1" pivotButton="0" quotePrefix="0" xfId="0">
      <alignment horizontal="center" vertical="center" wrapText="1" readingOrder="2"/>
    </xf>
    <xf numFmtId="0" fontId="10" fillId="16" borderId="2" applyAlignment="1" pivotButton="0" quotePrefix="0" xfId="0">
      <alignment horizontal="center" vertical="center" wrapText="1" readingOrder="2"/>
    </xf>
    <xf numFmtId="0" fontId="11" fillId="16" borderId="2" applyAlignment="1" pivotButton="0" quotePrefix="0" xfId="0">
      <alignment horizontal="right" vertical="center" wrapText="1" readingOrder="2"/>
    </xf>
    <xf numFmtId="0" fontId="11" fillId="16" borderId="2" applyAlignment="1" pivotButton="0" quotePrefix="0" xfId="0">
      <alignment horizontal="center" vertical="center" wrapText="1" readingOrder="2"/>
    </xf>
    <xf numFmtId="0" fontId="12" fillId="16" borderId="2" applyAlignment="1" pivotButton="0" quotePrefix="0" xfId="0">
      <alignment horizontal="center" vertical="center" wrapText="1" readingOrder="2"/>
    </xf>
    <xf numFmtId="0" fontId="13" fillId="3" borderId="2" applyAlignment="1" pivotButton="0" quotePrefix="0" xfId="0">
      <alignment horizontal="center" vertical="center" wrapText="1" readingOrder="2"/>
    </xf>
    <xf numFmtId="0" fontId="14" fillId="3" borderId="2" applyAlignment="1" pivotButton="0" quotePrefix="0" xfId="0">
      <alignment horizontal="center" vertical="center" wrapText="1" readingOrder="2"/>
    </xf>
    <xf numFmtId="0" fontId="11" fillId="17" borderId="2" applyAlignment="1" pivotButton="0" quotePrefix="0" xfId="0">
      <alignment horizontal="center" vertical="center" wrapText="1" readingOrder="2"/>
    </xf>
    <xf numFmtId="0" fontId="10" fillId="17" borderId="2" applyAlignment="1" pivotButton="0" quotePrefix="0" xfId="0">
      <alignment horizontal="right" vertical="center" wrapText="1" readingOrder="2"/>
    </xf>
    <xf numFmtId="0" fontId="10" fillId="17" borderId="2" applyAlignment="1" pivotButton="0" quotePrefix="0" xfId="0">
      <alignment horizontal="center" vertical="center" wrapText="1" readingOrder="2"/>
    </xf>
    <xf numFmtId="164" fontId="10" fillId="15" borderId="2" applyAlignment="1" pivotButton="0" quotePrefix="0" xfId="0">
      <alignment horizontal="center" vertical="center" readingOrder="2"/>
    </xf>
    <xf numFmtId="165" fontId="12" fillId="15" borderId="2" applyAlignment="1" pivotButton="0" quotePrefix="0" xfId="0">
      <alignment horizontal="center" vertical="center" readingOrder="2"/>
    </xf>
    <xf numFmtId="0" fontId="15" fillId="15" borderId="2" applyAlignment="1" pivotButton="0" quotePrefix="0" xfId="0">
      <alignment horizontal="center" vertical="center" readingOrder="2"/>
    </xf>
    <xf numFmtId="0" fontId="10" fillId="18" borderId="2" applyAlignment="1" pivotButton="0" quotePrefix="0" xfId="0">
      <alignment horizontal="center" vertical="center" wrapText="1" readingOrder="2"/>
    </xf>
    <xf numFmtId="0" fontId="11" fillId="18" borderId="2" applyAlignment="1" pivotButton="0" quotePrefix="0" xfId="0">
      <alignment horizontal="right" vertical="center" wrapText="1" readingOrder="2"/>
    </xf>
    <xf numFmtId="0" fontId="11" fillId="18" borderId="2" applyAlignment="1" pivotButton="0" quotePrefix="0" xfId="0">
      <alignment horizontal="center" vertical="center" wrapText="1" readingOrder="2"/>
    </xf>
    <xf numFmtId="164" fontId="10" fillId="18" borderId="2" applyAlignment="1" pivotButton="0" quotePrefix="0" xfId="0">
      <alignment horizontal="center" vertical="center" readingOrder="2"/>
    </xf>
    <xf numFmtId="165" fontId="12" fillId="18" borderId="2" applyAlignment="1" pivotButton="0" quotePrefix="0" xfId="0">
      <alignment horizontal="center" vertical="center" readingOrder="2"/>
    </xf>
    <xf numFmtId="0" fontId="15" fillId="18" borderId="2" applyAlignment="1" pivotButton="0" quotePrefix="0" xfId="0">
      <alignment horizontal="center" vertical="center" readingOrder="2"/>
    </xf>
    <xf numFmtId="0" fontId="16" fillId="3" borderId="1" applyAlignment="1" pivotButton="0" quotePrefix="0" xfId="0">
      <alignment horizontal="center" vertical="center" wrapText="1" readingOrder="2"/>
    </xf>
    <xf numFmtId="0" fontId="17" fillId="3" borderId="1" applyAlignment="1" pivotButton="0" quotePrefix="0" xfId="0">
      <alignment horizontal="center" vertical="center" wrapText="1" readingOrder="2"/>
    </xf>
    <xf numFmtId="0" fontId="18" fillId="18" borderId="2" applyAlignment="1" pivotButton="0" quotePrefix="0" xfId="0">
      <alignment horizontal="right" vertical="center" readingOrder="2"/>
    </xf>
    <xf numFmtId="2" fontId="19" fillId="17" borderId="2" applyAlignment="1" pivotButton="0" quotePrefix="0" xfId="0">
      <alignment horizontal="center" vertical="center" wrapText="1" readingOrder="2"/>
    </xf>
    <xf numFmtId="165" fontId="19" fillId="17" borderId="2" applyAlignment="1" pivotButton="0" quotePrefix="0" xfId="0">
      <alignment horizontal="center" vertical="center" wrapText="1" readingOrder="2"/>
    </xf>
    <xf numFmtId="164" fontId="19" fillId="17" borderId="2" applyAlignment="1" pivotButton="0" quotePrefix="0" xfId="0">
      <alignment horizontal="center" vertical="center" wrapText="1" readingOrder="2"/>
    </xf>
    <xf numFmtId="0" fontId="17" fillId="4" borderId="1" applyAlignment="1" pivotButton="0" quotePrefix="0" xfId="0">
      <alignment horizontal="center" vertical="center" wrapText="1" readingOrder="2"/>
    </xf>
    <xf numFmtId="0" fontId="20" fillId="19" borderId="2" applyAlignment="1" pivotButton="0" quotePrefix="0" xfId="0">
      <alignment horizontal="center" vertical="center" wrapText="1" readingOrder="2"/>
    </xf>
    <xf numFmtId="1" fontId="19" fillId="15" borderId="2" applyAlignment="1" pivotButton="0" quotePrefix="0" xfId="0">
      <alignment horizontal="center" vertical="center" wrapText="1" readingOrder="2"/>
    </xf>
    <xf numFmtId="165" fontId="11" fillId="15" borderId="2" applyAlignment="1" pivotButton="0" quotePrefix="0" xfId="0">
      <alignment horizontal="center" vertical="center" wrapText="1" readingOrder="2"/>
    </xf>
    <xf numFmtId="0" fontId="21" fillId="20" borderId="2" applyAlignment="1" pivotButton="0" quotePrefix="0" xfId="0">
      <alignment horizontal="center" vertical="center" wrapText="1" readingOrder="2"/>
    </xf>
    <xf numFmtId="0" fontId="22" fillId="21" borderId="2" applyAlignment="1" pivotButton="0" quotePrefix="0" xfId="0">
      <alignment horizontal="center" vertical="center" wrapText="1" readingOrder="2"/>
    </xf>
    <xf numFmtId="0" fontId="23" fillId="6" borderId="1" applyAlignment="1" pivotButton="0" quotePrefix="0" xfId="0">
      <alignment horizontal="center" vertical="center" wrapText="1" readingOrder="2"/>
    </xf>
    <xf numFmtId="0" fontId="18" fillId="16" borderId="2" applyAlignment="1" pivotButton="0" quotePrefix="0" xfId="0">
      <alignment horizontal="right" vertical="center" readingOrder="2"/>
    </xf>
    <xf numFmtId="2" fontId="1" fillId="16" borderId="2" applyAlignment="1" pivotButton="0" quotePrefix="0" xfId="0">
      <alignment horizontal="center" vertical="center" readingOrder="2"/>
    </xf>
    <xf numFmtId="0" fontId="24" fillId="16" borderId="2" applyAlignment="1" pivotButton="0" quotePrefix="0" xfId="0">
      <alignment horizontal="center" vertical="center" readingOrder="2"/>
    </xf>
    <xf numFmtId="0" fontId="18" fillId="15" borderId="2" applyAlignment="1" pivotButton="0" quotePrefix="0" xfId="0">
      <alignment horizontal="right" vertical="center" readingOrder="2"/>
    </xf>
    <xf numFmtId="2" fontId="1" fillId="15" borderId="2" applyAlignment="1" pivotButton="0" quotePrefix="0" xfId="0">
      <alignment horizontal="center" vertical="center" readingOrder="2"/>
    </xf>
    <xf numFmtId="0" fontId="24" fillId="15" borderId="2" applyAlignment="1" pivotButton="0" quotePrefix="0" xfId="0">
      <alignment horizontal="center" vertical="center" readingOrder="2"/>
    </xf>
    <xf numFmtId="0" fontId="25" fillId="3" borderId="1" applyAlignment="1" pivotButton="0" quotePrefix="0" xfId="0">
      <alignment horizontal="center" vertical="center" wrapText="1" readingOrder="2"/>
    </xf>
    <xf numFmtId="0" fontId="1" fillId="15" borderId="2" applyAlignment="1" pivotButton="0" quotePrefix="0" xfId="0">
      <alignment horizontal="center" vertical="center" readingOrder="2"/>
    </xf>
    <xf numFmtId="0" fontId="26" fillId="15" borderId="2" applyAlignment="1" pivotButton="0" quotePrefix="0" xfId="0">
      <alignment horizontal="right" vertical="center" wrapText="1" readingOrder="2"/>
    </xf>
    <xf numFmtId="0" fontId="1" fillId="18" borderId="2" applyAlignment="1" pivotButton="0" quotePrefix="0" xfId="0">
      <alignment horizontal="center" vertical="center" readingOrder="2"/>
    </xf>
    <xf numFmtId="0" fontId="26" fillId="18" borderId="2" applyAlignment="1" pivotButton="0" quotePrefix="0" xfId="0">
      <alignment horizontal="right" vertical="center" wrapText="1" readingOrder="2"/>
    </xf>
    <xf numFmtId="0" fontId="27" fillId="6" borderId="1" applyAlignment="1" pivotButton="0" quotePrefix="0" xfId="0">
      <alignment horizontal="center" vertical="center" wrapText="1" readingOrder="2"/>
    </xf>
    <xf numFmtId="0" fontId="13" fillId="6" borderId="2" applyAlignment="1" pivotButton="0" quotePrefix="0" xfId="0">
      <alignment horizontal="center" vertical="center" wrapText="1" readingOrder="2"/>
    </xf>
    <xf numFmtId="0" fontId="14" fillId="6" borderId="2" applyAlignment="1" pivotButton="0" quotePrefix="0" xfId="0">
      <alignment horizontal="center" vertical="center" wrapText="1" readingOrder="2"/>
    </xf>
    <xf numFmtId="0" fontId="28" fillId="15" borderId="2" applyAlignment="1" pivotButton="0" quotePrefix="0" xfId="0">
      <alignment horizontal="center" vertical="center" wrapText="1" readingOrder="2"/>
    </xf>
    <xf numFmtId="1" fontId="28" fillId="15" borderId="2" applyAlignment="1" pivotButton="0" quotePrefix="0" xfId="0">
      <alignment horizontal="center" vertical="center" readingOrder="2"/>
    </xf>
    <xf numFmtId="0" fontId="28" fillId="22" borderId="2" applyAlignment="1" pivotButton="0" quotePrefix="0" xfId="0">
      <alignment horizontal="center" vertical="center" wrapText="1" readingOrder="2"/>
    </xf>
    <xf numFmtId="0" fontId="11" fillId="22" borderId="2" applyAlignment="1" pivotButton="0" quotePrefix="0" xfId="0">
      <alignment horizontal="right" vertical="center" wrapText="1" readingOrder="2"/>
    </xf>
    <xf numFmtId="0" fontId="11" fillId="22" borderId="2" applyAlignment="1" pivotButton="0" quotePrefix="0" xfId="0">
      <alignment horizontal="center" vertical="center" wrapText="1" readingOrder="2"/>
    </xf>
    <xf numFmtId="1" fontId="28" fillId="22" borderId="2" applyAlignment="1" pivotButton="0" quotePrefix="0" xfId="0">
      <alignment horizontal="center" vertical="center" readingOrder="2"/>
    </xf>
    <xf numFmtId="0" fontId="15" fillId="22" borderId="2" applyAlignment="1" pivotButton="0" quotePrefix="0" xfId="0">
      <alignment horizontal="center" vertical="center" readingOrder="2"/>
    </xf>
    <xf numFmtId="0" fontId="29" fillId="3" borderId="1" applyAlignment="1" pivotButton="0" quotePrefix="0" xfId="0">
      <alignment horizontal="center" vertical="center" wrapText="1" readingOrder="2"/>
    </xf>
    <xf numFmtId="0" fontId="30" fillId="4" borderId="2" applyAlignment="1" pivotButton="0" quotePrefix="0" xfId="0">
      <alignment horizontal="center" vertical="center" wrapText="1" readingOrder="2"/>
    </xf>
    <xf numFmtId="0" fontId="12" fillId="15" borderId="2" applyAlignment="1" pivotButton="0" quotePrefix="0" xfId="0">
      <alignment horizontal="right" vertical="center" wrapText="1" readingOrder="2"/>
    </xf>
    <xf numFmtId="0" fontId="12" fillId="16" borderId="2" applyAlignment="1" pivotButton="0" quotePrefix="0" xfId="0">
      <alignment horizontal="right" vertical="center" wrapText="1" readingOrder="2"/>
    </xf>
    <xf numFmtId="0" fontId="5" fillId="3" borderId="2" applyAlignment="1" pivotButton="0" quotePrefix="0" xfId="0">
      <alignment horizontal="center" vertical="center" wrapText="1" readingOrder="2"/>
    </xf>
    <xf numFmtId="164" fontId="12" fillId="15" borderId="2" applyAlignment="1" pivotButton="0" quotePrefix="0" xfId="0">
      <alignment horizontal="center" vertical="center" readingOrder="2"/>
    </xf>
    <xf numFmtId="164" fontId="31" fillId="15" borderId="2" applyAlignment="1" pivotButton="0" quotePrefix="0" xfId="0">
      <alignment horizontal="center" vertical="center" readingOrder="2"/>
    </xf>
    <xf numFmtId="166" fontId="15" fillId="15" borderId="2" applyAlignment="1" pivotButton="0" quotePrefix="0" xfId="0">
      <alignment horizontal="center" vertical="center" readingOrder="2"/>
    </xf>
    <xf numFmtId="165" fontId="1" fillId="15" borderId="2" applyAlignment="1" pivotButton="0" quotePrefix="0" xfId="0">
      <alignment horizontal="center" vertical="center" readingOrder="2"/>
    </xf>
    <xf numFmtId="164" fontId="12" fillId="18" borderId="2" applyAlignment="1" pivotButton="0" quotePrefix="0" xfId="0">
      <alignment horizontal="center" vertical="center" readingOrder="2"/>
    </xf>
    <xf numFmtId="164" fontId="31" fillId="18" borderId="2" applyAlignment="1" pivotButton="0" quotePrefix="0" xfId="0">
      <alignment horizontal="center" vertical="center" readingOrder="2"/>
    </xf>
    <xf numFmtId="166" fontId="15" fillId="18" borderId="2" applyAlignment="1" pivotButton="0" quotePrefix="0" xfId="0">
      <alignment horizontal="center" vertical="center" readingOrder="2"/>
    </xf>
    <xf numFmtId="165" fontId="1" fillId="18" borderId="2" applyAlignment="1" pivotButton="0" quotePrefix="0" xfId="0">
      <alignment horizontal="center" vertical="center" readingOrder="2"/>
    </xf>
    <xf numFmtId="2" fontId="32" fillId="17" borderId="2" applyAlignment="1" pivotButton="0" quotePrefix="0" xfId="0">
      <alignment horizontal="center" vertical="center" readingOrder="2"/>
    </xf>
    <xf numFmtId="0" fontId="0" fillId="0" borderId="5" pivotButton="0" quotePrefix="0" xfId="0"/>
    <xf numFmtId="0" fontId="17" fillId="23" borderId="1" applyAlignment="1" pivotButton="0" quotePrefix="0" xfId="0">
      <alignment horizontal="center" vertical="center" wrapText="1" readingOrder="2"/>
    </xf>
    <xf numFmtId="0" fontId="17" fillId="24" borderId="1" applyAlignment="1" pivotButton="0" quotePrefix="0" xfId="0">
      <alignment horizontal="center" vertical="center" wrapText="1" readingOrder="2"/>
    </xf>
    <xf numFmtId="0" fontId="32" fillId="17" borderId="2" applyAlignment="1" pivotButton="0" quotePrefix="0" xfId="0">
      <alignment horizontal="center" vertical="center" readingOrder="2"/>
    </xf>
    <xf numFmtId="0" fontId="17" fillId="25" borderId="1" applyAlignment="1" pivotButton="0" quotePrefix="0" xfId="0">
      <alignment horizontal="center" vertical="center" wrapText="1" readingOrder="2"/>
    </xf>
    <xf numFmtId="0" fontId="17" fillId="6" borderId="1" applyAlignment="1" pivotButton="0" quotePrefix="0" xfId="0">
      <alignment horizontal="center" vertical="center" wrapText="1" readingOrder="2"/>
    </xf>
    <xf numFmtId="165" fontId="32" fillId="17" borderId="2" applyAlignment="1" pivotButton="0" quotePrefix="0" xfId="0">
      <alignment horizontal="center" vertical="center" readingOrder="2"/>
    </xf>
    <xf numFmtId="49" fontId="19" fillId="17" borderId="2" applyAlignment="1" pivotButton="0" quotePrefix="0" xfId="0">
      <alignment horizontal="center" vertical="center" wrapText="1" readingOrder="2"/>
    </xf>
    <xf numFmtId="0" fontId="33" fillId="4" borderId="1" applyAlignment="1" pivotButton="0" quotePrefix="0" xfId="0">
      <alignment horizontal="center" vertical="center" wrapText="1" readingOrder="2"/>
    </xf>
    <xf numFmtId="0" fontId="17" fillId="4" borderId="1" applyAlignment="1" pivotButton="0" quotePrefix="0" xfId="0">
      <alignment horizontal="center" vertical="center" readingOrder="2"/>
    </xf>
    <xf numFmtId="0" fontId="17" fillId="23" borderId="1" applyAlignment="1" pivotButton="0" quotePrefix="0" xfId="0">
      <alignment horizontal="center" vertical="center" readingOrder="2"/>
    </xf>
    <xf numFmtId="0" fontId="17" fillId="5" borderId="1" applyAlignment="1" pivotButton="0" quotePrefix="0" xfId="0">
      <alignment horizontal="center" vertical="center" readingOrder="2"/>
    </xf>
    <xf numFmtId="0" fontId="17" fillId="24" borderId="1" applyAlignment="1" pivotButton="0" quotePrefix="0" xfId="0">
      <alignment horizontal="center" vertical="center" readingOrder="2"/>
    </xf>
    <xf numFmtId="0" fontId="17" fillId="3" borderId="1" applyAlignment="1" pivotButton="0" quotePrefix="0" xfId="0">
      <alignment horizontal="center" vertical="center" readingOrder="2"/>
    </xf>
    <xf numFmtId="0" fontId="17" fillId="6" borderId="1" applyAlignment="1" pivotButton="0" quotePrefix="0" xfId="0">
      <alignment horizontal="center" vertical="center" readingOrder="2"/>
    </xf>
    <xf numFmtId="164" fontId="34" fillId="4" borderId="1" applyAlignment="1" pivotButton="0" quotePrefix="0" xfId="0">
      <alignment horizontal="center" vertical="center" readingOrder="2"/>
    </xf>
    <xf numFmtId="164" fontId="34" fillId="23" borderId="1" applyAlignment="1" pivotButton="0" quotePrefix="0" xfId="0">
      <alignment horizontal="center" vertical="center" readingOrder="2"/>
    </xf>
    <xf numFmtId="164" fontId="34" fillId="5" borderId="1" applyAlignment="1" pivotButton="0" quotePrefix="0" xfId="0">
      <alignment horizontal="center" vertical="center" readingOrder="2"/>
    </xf>
    <xf numFmtId="165" fontId="34" fillId="24" borderId="1" applyAlignment="1" pivotButton="0" quotePrefix="0" xfId="0">
      <alignment horizontal="center" vertical="center" readingOrder="2"/>
    </xf>
    <xf numFmtId="1" fontId="34" fillId="3" borderId="1" applyAlignment="1" pivotButton="0" quotePrefix="0" xfId="0">
      <alignment horizontal="center" vertical="center" readingOrder="2"/>
    </xf>
    <xf numFmtId="1" fontId="34" fillId="6" borderId="1" applyAlignment="1" pivotButton="0" quotePrefix="0" xfId="0">
      <alignment horizontal="center" vertical="center" readingOrder="2"/>
    </xf>
    <xf numFmtId="0" fontId="35" fillId="3" borderId="1" applyAlignment="1" pivotButton="0" quotePrefix="0" xfId="0">
      <alignment horizontal="center" vertical="center" wrapText="1" readingOrder="2"/>
    </xf>
    <xf numFmtId="0" fontId="13" fillId="4" borderId="2" applyAlignment="1" pivotButton="0" quotePrefix="0" xfId="0">
      <alignment horizontal="center" vertical="center" wrapText="1" readingOrder="2"/>
    </xf>
    <xf numFmtId="0" fontId="0" fillId="0" borderId="6" pivotButton="0" quotePrefix="0" xfId="0"/>
    <xf numFmtId="0" fontId="10" fillId="16" borderId="2" applyAlignment="1" pivotButton="0" quotePrefix="0" xfId="0">
      <alignment horizontal="right" vertical="center" readingOrder="2"/>
    </xf>
    <xf numFmtId="2" fontId="12" fillId="16" borderId="2" applyAlignment="1" pivotButton="0" quotePrefix="0" xfId="0">
      <alignment horizontal="center" vertical="center" readingOrder="2"/>
    </xf>
    <xf numFmtId="2" fontId="31" fillId="16" borderId="2" applyAlignment="1" pivotButton="0" quotePrefix="0" xfId="0">
      <alignment horizontal="center" vertical="center" readingOrder="2"/>
    </xf>
    <xf numFmtId="2" fontId="36" fillId="16" borderId="2" applyAlignment="1" pivotButton="0" quotePrefix="0" xfId="0">
      <alignment horizontal="center" vertical="center" readingOrder="2"/>
    </xf>
    <xf numFmtId="167" fontId="15" fillId="16" borderId="2" applyAlignment="1" pivotButton="0" quotePrefix="0" xfId="0">
      <alignment horizontal="center" vertical="center" readingOrder="2"/>
    </xf>
    <xf numFmtId="165" fontId="1" fillId="16" borderId="2" applyAlignment="1" pivotButton="0" quotePrefix="0" xfId="0">
      <alignment horizontal="center" vertical="center" readingOrder="2"/>
    </xf>
    <xf numFmtId="0" fontId="37" fillId="16" borderId="2" applyAlignment="1" pivotButton="0" quotePrefix="0" xfId="0">
      <alignment horizontal="right" vertical="center" wrapText="1" readingOrder="2"/>
    </xf>
    <xf numFmtId="0" fontId="10" fillId="15" borderId="2" applyAlignment="1" pivotButton="0" quotePrefix="0" xfId="0">
      <alignment horizontal="right" vertical="center" readingOrder="2"/>
    </xf>
    <xf numFmtId="2" fontId="12" fillId="15" borderId="2" applyAlignment="1" pivotButton="0" quotePrefix="0" xfId="0">
      <alignment horizontal="center" vertical="center" readingOrder="2"/>
    </xf>
    <xf numFmtId="2" fontId="31" fillId="15" borderId="2" applyAlignment="1" pivotButton="0" quotePrefix="0" xfId="0">
      <alignment horizontal="center" vertical="center" readingOrder="2"/>
    </xf>
    <xf numFmtId="2" fontId="36" fillId="15" borderId="2" applyAlignment="1" pivotButton="0" quotePrefix="0" xfId="0">
      <alignment horizontal="center" vertical="center" readingOrder="2"/>
    </xf>
    <xf numFmtId="167" fontId="15" fillId="15" borderId="2" applyAlignment="1" pivotButton="0" quotePrefix="0" xfId="0">
      <alignment horizontal="center" vertical="center" readingOrder="2"/>
    </xf>
    <xf numFmtId="0" fontId="37" fillId="15" borderId="2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dxfs count="4">
    <dxf>
      <font>
        <name val="Arial"/>
        <b val="1"/>
        <color rgb="00276221"/>
      </font>
      <fill>
        <patternFill patternType="solid">
          <fgColor rgb="00C6EFCE"/>
        </patternFill>
      </fill>
    </dxf>
    <dxf>
      <font>
        <name val="Arial"/>
        <b val="1"/>
        <color rgb="009C6500"/>
      </font>
      <fill>
        <patternFill patternType="solid">
          <fgColor rgb="00FFEB9C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b val="1"/>
        <color rgb="00555555"/>
      </font>
      <fill>
        <patternFill patternType="solid">
          <fgColor rgb="00EEEE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توزيع مستويات الطالبات</a:t>
            </a:r>
          </a:p>
        </rich>
      </tx>
    </title>
    <plotArea>
      <pieChart>
        <varyColors val="1"/>
        <ser>
          <idx val="0"/>
          <order val="0"/>
          <tx>
            <strRef>
              <f>'الاختبار القبلي'!C116</f>
            </strRef>
          </tx>
          <spPr>
            <a:ln xmlns:a="http://schemas.openxmlformats.org/drawingml/2006/main">
              <a:prstDash val="solid"/>
            </a:ln>
          </spPr>
          <cat>
            <numRef>
              <f>'الاختبار القبلي'!$B$117:$B$119</f>
            </numRef>
          </cat>
          <val>
            <numRef>
              <f>'الاختبار القبلي'!$C$117:$C$119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متوسط درجات مهارات نافس العشر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'الاختبار القبلي'!C123</f>
            </strRef>
          </tx>
          <spPr>
            <a:ln xmlns:a="http://schemas.openxmlformats.org/drawingml/2006/main">
              <a:prstDash val="solid"/>
            </a:ln>
          </spPr>
          <cat>
            <numRef>
              <f>'الاختبار القبلي'!$B$124:$B$133</f>
            </numRef>
          </cat>
          <val>
            <numRef>
              <f>'الاختبار القبلي'!$C$124:$C$133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المهارة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المتوسط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توزيع مستويات الطالبات</a:t>
            </a:r>
          </a:p>
        </rich>
      </tx>
    </title>
    <plotArea>
      <pieChart>
        <varyColors val="1"/>
        <ser>
          <idx val="0"/>
          <order val="0"/>
          <tx>
            <strRef>
              <f>'الاختبار البعدي'!C116</f>
            </strRef>
          </tx>
          <spPr>
            <a:ln xmlns:a="http://schemas.openxmlformats.org/drawingml/2006/main">
              <a:prstDash val="solid"/>
            </a:ln>
          </spPr>
          <cat>
            <numRef>
              <f>'الاختبار البعدي'!$B$117:$B$119</f>
            </numRef>
          </cat>
          <val>
            <numRef>
              <f>'الاختبار البعدي'!$C$117:$C$119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متوسط درجات مهارات نافس العشر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'الاختبار البعدي'!C123</f>
            </strRef>
          </tx>
          <spPr>
            <a:ln xmlns:a="http://schemas.openxmlformats.org/drawingml/2006/main">
              <a:prstDash val="solid"/>
            </a:ln>
          </spPr>
          <cat>
            <numRef>
              <f>'الاختبار البعدي'!$B$124:$B$133</f>
            </numRef>
          </cat>
          <val>
            <numRef>
              <f>'الاختبار البعدي'!$C$124:$C$133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المهارة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المتوسط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توزيع مستويات الطالبات (النهائي)</a:t>
            </a:r>
          </a:p>
        </rich>
      </tx>
    </title>
    <plotArea>
      <pieChart>
        <varyColors val="1"/>
        <ser>
          <idx val="0"/>
          <order val="0"/>
          <tx>
            <strRef>
              <f>'الاختبار النهائي'!C115</f>
            </strRef>
          </tx>
          <spPr>
            <a:ln xmlns:a="http://schemas.openxmlformats.org/drawingml/2006/main">
              <a:prstDash val="solid"/>
            </a:ln>
          </spPr>
          <cat>
            <numRef>
              <f>'الاختبار النهائي'!$B$116:$B$118</f>
            </numRef>
          </cat>
          <val>
            <numRef>
              <f>'الاختبار النهائي'!$C$116:$C$118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متوسط درجات مهارات نافس الختامية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'الاختبار النهائي'!C122</f>
            </strRef>
          </tx>
          <spPr>
            <a:ln xmlns:a="http://schemas.openxmlformats.org/drawingml/2006/main">
              <a:prstDash val="solid"/>
            </a:ln>
          </spPr>
          <cat>
            <numRef>
              <f>'الاختبار النهائي'!$B$123:$B$132</f>
            </numRef>
          </cat>
          <val>
            <numRef>
              <f>'الاختبار النهائي'!$C$123:$C$132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المهارة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المتوسط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قبلي – بعدي – نهائي</a:t>
            </a:r>
          </a:p>
        </rich>
      </tx>
    </title>
    <plotArea>
      <lineChart>
        <grouping val="standard"/>
        <ser>
          <idx val="0"/>
          <order val="0"/>
          <tx>
            <strRef>
              <f>'لوحة التحليل'!C13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'لوحة التحليل'!$B$14:$B$23</f>
            </numRef>
          </cat>
          <val>
            <numRef>
              <f>'لوحة التحليل'!$C$14:$C$23</f>
            </numRef>
          </val>
        </ser>
        <ser>
          <idx val="1"/>
          <order val="1"/>
          <tx>
            <strRef>
              <f>'لوحة التحليل'!D13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'لوحة التحليل'!$B$14:$B$23</f>
            </numRef>
          </cat>
          <val>
            <numRef>
              <f>'لوحة التحليل'!$D$14:$D$23</f>
            </numRef>
          </val>
        </ser>
        <ser>
          <idx val="2"/>
          <order val="2"/>
          <tx>
            <strRef>
              <f>'لوحة التحليل'!E13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'لوحة التحليل'!$B$14:$B$23</f>
            </numRef>
          </cat>
          <val>
            <numRef>
              <f>'لوحة التحليل'!$E$14:$E$23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المهارة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المتوسط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108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122</row>
      <rowOff>0</rowOff>
    </from>
    <ext cx="86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108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122</row>
      <rowOff>0</rowOff>
    </from>
    <ext cx="86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107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121</row>
      <rowOff>0</rowOff>
    </from>
    <ext cx="86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26</row>
      <rowOff>0</rowOff>
    </from>
    <ext cx="90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1A2F5A"/>
    <outlinePr summaryBelow="1" summaryRight="1"/>
    <pageSetUpPr fitToPage="1"/>
  </sheetPr>
  <dimension ref="B2:L32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3" customWidth="1" min="13" max="13"/>
  </cols>
  <sheetData>
    <row r="1" ht="10" customHeight="1"/>
    <row r="2" ht="65" customHeight="1">
      <c r="B2" s="1" t="inlineStr">
        <is>
          <t>نظام تقييم مهارات نافس الأكاديمي</t>
        </is>
      </c>
    </row>
    <row r="3" ht="40" customHeight="1">
      <c r="B3" s="2" t="inlineStr">
        <is>
          <t>Academic Skills Assessment System – NAFIS</t>
        </is>
      </c>
    </row>
    <row r="4" ht="30" customHeight="1">
      <c r="B4" s="3" t="inlineStr">
        <is>
          <t>عدد الطالبات: 99  |  عدد المهارات: 10  |  العام الدراسي: 1446 هـ</t>
        </is>
      </c>
    </row>
    <row r="5" ht="26" customHeight="1">
      <c r="B5" s="4" t="inlineStr">
        <is>
          <t>✨ يمكنك تعديل مسمى أي مهارة مباشرةً من هذه الكروت – وسيتم تحديثها تلقائياً في جميع صفحات الملف</t>
        </is>
      </c>
    </row>
    <row r="6" ht="20" customHeight="1">
      <c r="B6" s="5" t="inlineStr">
        <is>
          <t>📚  المهارة 1</t>
        </is>
      </c>
      <c r="D6" s="6" t="inlineStr">
        <is>
          <t>🔍  المهارة 2</t>
        </is>
      </c>
      <c r="F6" s="7" t="inlineStr">
        <is>
          <t>🧠  المهارة 3</t>
        </is>
      </c>
      <c r="H6" s="8" t="inlineStr">
        <is>
          <t>💡  المهارة 4</t>
        </is>
      </c>
      <c r="J6" s="9" t="inlineStr">
        <is>
          <t>🗣️  المهارة 5</t>
        </is>
      </c>
    </row>
    <row r="7" ht="20" customHeight="1"/>
    <row r="8" ht="50" customHeight="1">
      <c r="B8" s="10" t="inlineStr">
        <is>
          <t>القراءة والفهم</t>
        </is>
      </c>
      <c r="D8" s="11" t="inlineStr">
        <is>
          <t>الاستيعاب والتحليل</t>
        </is>
      </c>
      <c r="F8" s="12" t="inlineStr">
        <is>
          <t>التفكير الناقد</t>
        </is>
      </c>
      <c r="H8" s="13" t="inlineStr">
        <is>
          <t>حل المشكلات</t>
        </is>
      </c>
      <c r="J8" s="14" t="inlineStr">
        <is>
          <t>التواصل اللغوي</t>
        </is>
      </c>
    </row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>
      <c r="B16" s="15" t="inlineStr"/>
      <c r="D16" s="15" t="inlineStr"/>
      <c r="F16" s="15" t="inlineStr"/>
      <c r="H16" s="15" t="inlineStr"/>
      <c r="J16" s="15" t="inlineStr"/>
    </row>
    <row r="18" ht="20" customHeight="1">
      <c r="B18" s="16" t="inlineStr">
        <is>
          <t>📊  المهارة 6</t>
        </is>
      </c>
      <c r="D18" s="17" t="inlineStr">
        <is>
          <t>🎓  المهارة 7</t>
        </is>
      </c>
      <c r="F18" s="18" t="inlineStr">
        <is>
          <t>⚙️  المهارة 8</t>
        </is>
      </c>
      <c r="H18" s="19" t="inlineStr">
        <is>
          <t>✨  المهارة 9</t>
        </is>
      </c>
      <c r="J18" s="20" t="inlineStr">
        <is>
          <t>📐  المهارة 10</t>
        </is>
      </c>
    </row>
    <row r="19" ht="20" customHeight="1"/>
    <row r="20" ht="50" customHeight="1">
      <c r="B20" s="21" t="inlineStr">
        <is>
          <t>الاستنتاج والتقييم</t>
        </is>
      </c>
      <c r="D20" s="22" t="inlineStr">
        <is>
          <t>الكفاءة المعرفية</t>
        </is>
      </c>
      <c r="F20" s="23" t="inlineStr">
        <is>
          <t>المنطق والتفكير</t>
        </is>
      </c>
      <c r="H20" s="24" t="inlineStr">
        <is>
          <t>الإبداع والابتكار</t>
        </is>
      </c>
      <c r="J20" s="25" t="inlineStr">
        <is>
          <t>التطبيق والتحليل</t>
        </is>
      </c>
    </row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>
      <c r="B28" s="15" t="inlineStr"/>
      <c r="D28" s="15" t="inlineStr"/>
      <c r="F28" s="15" t="inlineStr"/>
      <c r="H28" s="15" t="inlineStr"/>
      <c r="J28" s="15" t="inlineStr"/>
    </row>
    <row r="32" ht="22" customHeight="1">
      <c r="B32" s="26" t="inlineStr">
        <is>
          <t>جميع الحقوق محفوظة – نظام نافس الأكاديمي</t>
        </is>
      </c>
    </row>
  </sheetData>
  <mergeCells count="35">
    <mergeCell ref="B4:L4"/>
    <mergeCell ref="B16:C16"/>
    <mergeCell ref="B8:C15"/>
    <mergeCell ref="F16:G16"/>
    <mergeCell ref="B3:L3"/>
    <mergeCell ref="B6:C7"/>
    <mergeCell ref="J28:K28"/>
    <mergeCell ref="D18:E19"/>
    <mergeCell ref="F8:G15"/>
    <mergeCell ref="J18:K19"/>
    <mergeCell ref="F20:G27"/>
    <mergeCell ref="J20:K27"/>
    <mergeCell ref="B2:L2"/>
    <mergeCell ref="H18:I19"/>
    <mergeCell ref="D16:E16"/>
    <mergeCell ref="H16:I16"/>
    <mergeCell ref="J16:K16"/>
    <mergeCell ref="B28:C28"/>
    <mergeCell ref="D6:E7"/>
    <mergeCell ref="D28:E28"/>
    <mergeCell ref="F28:G28"/>
    <mergeCell ref="F6:G7"/>
    <mergeCell ref="D8:E15"/>
    <mergeCell ref="H28:I28"/>
    <mergeCell ref="H8:I15"/>
    <mergeCell ref="B18:C19"/>
    <mergeCell ref="J8:K15"/>
    <mergeCell ref="B20:C27"/>
    <mergeCell ref="D20:E27"/>
    <mergeCell ref="H6:I7"/>
    <mergeCell ref="H20:I27"/>
    <mergeCell ref="J6:K7"/>
    <mergeCell ref="B5:L5"/>
    <mergeCell ref="F18:G19"/>
    <mergeCell ref="B32:L32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tabColor rgb="00C9A84C"/>
    <outlinePr summaryBelow="1" summaryRight="1"/>
    <pageSetUpPr/>
  </sheetPr>
  <dimension ref="A2:F103"/>
  <sheetViews>
    <sheetView rightToLeft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15" customWidth="1" min="4" max="4"/>
    <col width="20" customWidth="1" min="5" max="5"/>
    <col width="18" customWidth="1" min="6" max="6"/>
  </cols>
  <sheetData>
    <row r="1" ht="10" customHeight="1"/>
    <row r="2" ht="50" customHeight="1">
      <c r="A2" s="27" t="inlineStr">
        <is>
          <t>قاعدة بيانات الطالبات المركزية – Master Sheet</t>
        </is>
      </c>
    </row>
    <row r="3" ht="30" customHeight="1">
      <c r="A3" s="28" t="inlineStr">
        <is>
          <t>هذه الصفحة هي المرجع الرئيسي لأسماء الطالبات – تؿذّي جميع الصفحات تلقائياً</t>
        </is>
      </c>
    </row>
    <row r="4" ht="30" customHeight="1">
      <c r="A4" s="29" t="inlineStr">
        <is>
          <t>م</t>
        </is>
      </c>
      <c r="B4" s="29" t="inlineStr">
        <is>
          <t>اسم الطالبة</t>
        </is>
      </c>
      <c r="C4" s="29" t="inlineStr">
        <is>
          <t>رقم الهوية</t>
        </is>
      </c>
      <c r="D4" s="29" t="inlineStr">
        <is>
          <t>الفصل</t>
        </is>
      </c>
      <c r="E4" s="29" t="inlineStr">
        <is>
          <t>اسم المعلمة</t>
        </is>
      </c>
      <c r="F4" s="29" t="inlineStr">
        <is>
          <t>تاريخ الإدخال</t>
        </is>
      </c>
    </row>
    <row r="5" ht="20" customHeight="1">
      <c r="A5" s="30" t="n">
        <v>1</v>
      </c>
      <c r="B5" s="31" t="inlineStr">
        <is>
          <t>نورة أحمد السالم</t>
        </is>
      </c>
      <c r="C5" s="32" t="inlineStr">
        <is>
          <t>1090000137</t>
        </is>
      </c>
      <c r="D5" s="33" t="inlineStr">
        <is>
          <t>ثالث/1</t>
        </is>
      </c>
      <c r="E5" s="32" t="inlineStr">
        <is>
          <t>أ. أمل العمري</t>
        </is>
      </c>
      <c r="F5" s="32" t="inlineStr">
        <is>
          <t>1446/08/15 هـ</t>
        </is>
      </c>
    </row>
    <row r="6" ht="20" customHeight="1">
      <c r="A6" s="34" t="n">
        <v>2</v>
      </c>
      <c r="B6" s="35" t="inlineStr">
        <is>
          <t>ريم محمد العتيبي</t>
        </is>
      </c>
      <c r="C6" s="36" t="inlineStr">
        <is>
          <t>1090000274</t>
        </is>
      </c>
      <c r="D6" s="37" t="inlineStr">
        <is>
          <t>ثالث/1</t>
        </is>
      </c>
      <c r="E6" s="36" t="inlineStr">
        <is>
          <t>أ. أمل العمري</t>
        </is>
      </c>
      <c r="F6" s="36" t="inlineStr">
        <is>
          <t>1446/08/15 هـ</t>
        </is>
      </c>
    </row>
    <row r="7" ht="20" customHeight="1">
      <c r="A7" s="30" t="n">
        <v>3</v>
      </c>
      <c r="B7" s="31" t="inlineStr">
        <is>
          <t>سارة خالد الزهراني</t>
        </is>
      </c>
      <c r="C7" s="32" t="inlineStr">
        <is>
          <t>1090000411</t>
        </is>
      </c>
      <c r="D7" s="33" t="inlineStr">
        <is>
          <t>ثالث/1</t>
        </is>
      </c>
      <c r="E7" s="32" t="inlineStr">
        <is>
          <t>أ. أمل العمري</t>
        </is>
      </c>
      <c r="F7" s="32" t="inlineStr">
        <is>
          <t>1446/08/15 هـ</t>
        </is>
      </c>
    </row>
    <row r="8" ht="20" customHeight="1">
      <c r="A8" s="34" t="n">
        <v>4</v>
      </c>
      <c r="B8" s="35" t="inlineStr">
        <is>
          <t>هند عبدالله المطيري</t>
        </is>
      </c>
      <c r="C8" s="36" t="inlineStr">
        <is>
          <t>1090000548</t>
        </is>
      </c>
      <c r="D8" s="37" t="inlineStr">
        <is>
          <t>ثالث/1</t>
        </is>
      </c>
      <c r="E8" s="36" t="inlineStr">
        <is>
          <t>أ. أمل العمري</t>
        </is>
      </c>
      <c r="F8" s="36" t="inlineStr">
        <is>
          <t>1446/08/15 هـ</t>
        </is>
      </c>
    </row>
    <row r="9" ht="20" customHeight="1">
      <c r="A9" s="30" t="n">
        <v>5</v>
      </c>
      <c r="B9" s="31" t="inlineStr">
        <is>
          <t>ليلى سعد القحطاني</t>
        </is>
      </c>
      <c r="C9" s="32" t="inlineStr">
        <is>
          <t>1090000685</t>
        </is>
      </c>
      <c r="D9" s="33" t="inlineStr">
        <is>
          <t>ثالث/1</t>
        </is>
      </c>
      <c r="E9" s="32" t="inlineStr">
        <is>
          <t>أ. أمل العمري</t>
        </is>
      </c>
      <c r="F9" s="32" t="inlineStr">
        <is>
          <t>1446/08/15 هـ</t>
        </is>
      </c>
    </row>
    <row r="10" ht="20" customHeight="1">
      <c r="A10" s="34" t="n">
        <v>6</v>
      </c>
      <c r="B10" s="35" t="inlineStr">
        <is>
          <t>مريم يوسف الشهري</t>
        </is>
      </c>
      <c r="C10" s="36" t="inlineStr">
        <is>
          <t>1090000822</t>
        </is>
      </c>
      <c r="D10" s="37" t="inlineStr">
        <is>
          <t>ثالث/1</t>
        </is>
      </c>
      <c r="E10" s="36" t="inlineStr">
        <is>
          <t>أ. أمل العمري</t>
        </is>
      </c>
      <c r="F10" s="36" t="inlineStr">
        <is>
          <t>1446/08/15 هـ</t>
        </is>
      </c>
    </row>
    <row r="11" ht="20" customHeight="1">
      <c r="A11" s="30" t="n">
        <v>7</v>
      </c>
      <c r="B11" s="31" t="inlineStr">
        <is>
          <t>دانة فهد العنزي</t>
        </is>
      </c>
      <c r="C11" s="32" t="inlineStr">
        <is>
          <t>1090000959</t>
        </is>
      </c>
      <c r="D11" s="33" t="inlineStr">
        <is>
          <t>ثالث/1</t>
        </is>
      </c>
      <c r="E11" s="32" t="inlineStr">
        <is>
          <t>أ. أمل العمري</t>
        </is>
      </c>
      <c r="F11" s="32" t="inlineStr">
        <is>
          <t>1446/08/15 هـ</t>
        </is>
      </c>
    </row>
    <row r="12" ht="20" customHeight="1">
      <c r="A12" s="34" t="n">
        <v>8</v>
      </c>
      <c r="B12" s="35" t="inlineStr">
        <is>
          <t>رنا عمر الدوسري</t>
        </is>
      </c>
      <c r="C12" s="36" t="inlineStr">
        <is>
          <t>1090001096</t>
        </is>
      </c>
      <c r="D12" s="37" t="inlineStr">
        <is>
          <t>ثالث/1</t>
        </is>
      </c>
      <c r="E12" s="36" t="inlineStr">
        <is>
          <t>أ. أمل العمري</t>
        </is>
      </c>
      <c r="F12" s="36" t="inlineStr">
        <is>
          <t>1446/08/15 هـ</t>
        </is>
      </c>
    </row>
    <row r="13" ht="20" customHeight="1">
      <c r="A13" s="30" t="n">
        <v>9</v>
      </c>
      <c r="B13" s="31" t="inlineStr">
        <is>
          <t>أريج ناصر الحربي</t>
        </is>
      </c>
      <c r="C13" s="32" t="inlineStr">
        <is>
          <t>1090001233</t>
        </is>
      </c>
      <c r="D13" s="33" t="inlineStr">
        <is>
          <t>ثالث/1</t>
        </is>
      </c>
      <c r="E13" s="32" t="inlineStr">
        <is>
          <t>أ. أمل العمري</t>
        </is>
      </c>
      <c r="F13" s="32" t="inlineStr">
        <is>
          <t>1446/08/15 هـ</t>
        </is>
      </c>
    </row>
    <row r="14" ht="20" customHeight="1">
      <c r="A14" s="34" t="n">
        <v>10</v>
      </c>
      <c r="B14" s="35" t="inlineStr">
        <is>
          <t>شيماء علي الغامدي</t>
        </is>
      </c>
      <c r="C14" s="36" t="inlineStr">
        <is>
          <t>1090001370</t>
        </is>
      </c>
      <c r="D14" s="37" t="inlineStr">
        <is>
          <t>ثالث/1</t>
        </is>
      </c>
      <c r="E14" s="36" t="inlineStr">
        <is>
          <t>أ. أمل العمري</t>
        </is>
      </c>
      <c r="F14" s="36" t="inlineStr">
        <is>
          <t>1446/08/15 هـ</t>
        </is>
      </c>
    </row>
    <row r="15" ht="20" customHeight="1">
      <c r="A15" s="30" t="n">
        <v>11</v>
      </c>
      <c r="B15" s="31" t="inlineStr">
        <is>
          <t>أسماء إبراهيم البلوي</t>
        </is>
      </c>
      <c r="C15" s="32" t="inlineStr">
        <is>
          <t>1090001507</t>
        </is>
      </c>
      <c r="D15" s="33" t="inlineStr">
        <is>
          <t>ثالث/1</t>
        </is>
      </c>
      <c r="E15" s="32" t="inlineStr">
        <is>
          <t>أ. أمل العمري</t>
        </is>
      </c>
      <c r="F15" s="32" t="inlineStr">
        <is>
          <t>1446/08/15 هـ</t>
        </is>
      </c>
    </row>
    <row r="16" ht="20" customHeight="1">
      <c r="A16" s="34" t="n">
        <v>12</v>
      </c>
      <c r="B16" s="35" t="inlineStr">
        <is>
          <t>غادة حسن الرشيدي</t>
        </is>
      </c>
      <c r="C16" s="36" t="inlineStr">
        <is>
          <t>1090001644</t>
        </is>
      </c>
      <c r="D16" s="37" t="inlineStr">
        <is>
          <t>ثالث/1</t>
        </is>
      </c>
      <c r="E16" s="36" t="inlineStr">
        <is>
          <t>أ. أمل العمري</t>
        </is>
      </c>
      <c r="F16" s="36" t="inlineStr">
        <is>
          <t>1446/08/15 هـ</t>
        </is>
      </c>
    </row>
    <row r="17" ht="20" customHeight="1">
      <c r="A17" s="30" t="n">
        <v>13</v>
      </c>
      <c r="B17" s="31" t="inlineStr">
        <is>
          <t>رهف سلطان الجهني</t>
        </is>
      </c>
      <c r="C17" s="32" t="inlineStr">
        <is>
          <t>1090001781</t>
        </is>
      </c>
      <c r="D17" s="33" t="inlineStr">
        <is>
          <t>ثالث/1</t>
        </is>
      </c>
      <c r="E17" s="32" t="inlineStr">
        <is>
          <t>أ. أمل العمري</t>
        </is>
      </c>
      <c r="F17" s="32" t="inlineStr">
        <is>
          <t>1446/08/15 هـ</t>
        </is>
      </c>
    </row>
    <row r="18" ht="20" customHeight="1">
      <c r="A18" s="34" t="n">
        <v>14</v>
      </c>
      <c r="B18" s="35" t="inlineStr">
        <is>
          <t>بشرى راشد الشمري</t>
        </is>
      </c>
      <c r="C18" s="36" t="inlineStr">
        <is>
          <t>1090001918</t>
        </is>
      </c>
      <c r="D18" s="37" t="inlineStr">
        <is>
          <t>ثالث/1</t>
        </is>
      </c>
      <c r="E18" s="36" t="inlineStr">
        <is>
          <t>أ. أمل العمري</t>
        </is>
      </c>
      <c r="F18" s="36" t="inlineStr">
        <is>
          <t>1446/08/15 هـ</t>
        </is>
      </c>
    </row>
    <row r="19" ht="20" customHeight="1">
      <c r="A19" s="30" t="n">
        <v>15</v>
      </c>
      <c r="B19" s="31" t="inlineStr">
        <is>
          <t>نجلاء محمد السبيعي</t>
        </is>
      </c>
      <c r="C19" s="32" t="inlineStr">
        <is>
          <t>1090002055</t>
        </is>
      </c>
      <c r="D19" s="33" t="inlineStr">
        <is>
          <t>ثالث/1</t>
        </is>
      </c>
      <c r="E19" s="32" t="inlineStr">
        <is>
          <t>أ. أمل العمري</t>
        </is>
      </c>
      <c r="F19" s="32" t="inlineStr">
        <is>
          <t>1446/08/15 هـ</t>
        </is>
      </c>
    </row>
    <row r="20" ht="20" customHeight="1">
      <c r="A20" s="34" t="n">
        <v>16</v>
      </c>
      <c r="B20" s="35" t="inlineStr">
        <is>
          <t>وفاء أحمد الحازمي</t>
        </is>
      </c>
      <c r="C20" s="36" t="inlineStr">
        <is>
          <t>1090002192</t>
        </is>
      </c>
      <c r="D20" s="37" t="inlineStr">
        <is>
          <t>ثالث/1</t>
        </is>
      </c>
      <c r="E20" s="36" t="inlineStr">
        <is>
          <t>أ. أمل العمري</t>
        </is>
      </c>
      <c r="F20" s="36" t="inlineStr">
        <is>
          <t>1446/08/15 هـ</t>
        </is>
      </c>
    </row>
    <row r="21" ht="20" customHeight="1">
      <c r="A21" s="30" t="n">
        <v>17</v>
      </c>
      <c r="B21" s="31" t="inlineStr">
        <is>
          <t>أمل خالد العمري</t>
        </is>
      </c>
      <c r="C21" s="32" t="inlineStr">
        <is>
          <t>1090002329</t>
        </is>
      </c>
      <c r="D21" s="33" t="inlineStr">
        <is>
          <t>ثالث/1</t>
        </is>
      </c>
      <c r="E21" s="32" t="inlineStr">
        <is>
          <t>أ. أمل العمري</t>
        </is>
      </c>
      <c r="F21" s="32" t="inlineStr">
        <is>
          <t>1446/08/15 هـ</t>
        </is>
      </c>
    </row>
    <row r="22" ht="20" customHeight="1">
      <c r="A22" s="34" t="n">
        <v>18</v>
      </c>
      <c r="B22" s="35" t="inlineStr">
        <is>
          <t>سلمى عبدالرحمن الرويلي</t>
        </is>
      </c>
      <c r="C22" s="36" t="inlineStr">
        <is>
          <t>1090002466</t>
        </is>
      </c>
      <c r="D22" s="37" t="inlineStr">
        <is>
          <t>ثالث/1</t>
        </is>
      </c>
      <c r="E22" s="36" t="inlineStr">
        <is>
          <t>أ. أمل العمري</t>
        </is>
      </c>
      <c r="F22" s="36" t="inlineStr">
        <is>
          <t>1446/08/15 هـ</t>
        </is>
      </c>
    </row>
    <row r="23" ht="20" customHeight="1">
      <c r="A23" s="30" t="n">
        <v>19</v>
      </c>
      <c r="B23" s="31" t="inlineStr">
        <is>
          <t>حصة ماجد الثبيتي</t>
        </is>
      </c>
      <c r="C23" s="32" t="inlineStr">
        <is>
          <t>1090002603</t>
        </is>
      </c>
      <c r="D23" s="33" t="inlineStr">
        <is>
          <t>ثالث/1</t>
        </is>
      </c>
      <c r="E23" s="32" t="inlineStr">
        <is>
          <t>أ. أمل العمري</t>
        </is>
      </c>
      <c r="F23" s="32" t="inlineStr">
        <is>
          <t>1446/08/15 هـ</t>
        </is>
      </c>
    </row>
    <row r="24" ht="20" customHeight="1">
      <c r="A24" s="34" t="n">
        <v>20</v>
      </c>
      <c r="B24" s="35" t="inlineStr">
        <is>
          <t>منال فيصل السيف</t>
        </is>
      </c>
      <c r="C24" s="36" t="inlineStr">
        <is>
          <t>1090002740</t>
        </is>
      </c>
      <c r="D24" s="37" t="inlineStr">
        <is>
          <t>ثالث/1</t>
        </is>
      </c>
      <c r="E24" s="36" t="inlineStr">
        <is>
          <t>أ. أمل العمري</t>
        </is>
      </c>
      <c r="F24" s="36" t="inlineStr">
        <is>
          <t>1446/08/15 هـ</t>
        </is>
      </c>
    </row>
    <row r="25" ht="20" customHeight="1">
      <c r="A25" s="30" t="n">
        <v>21</v>
      </c>
      <c r="B25" s="31" t="inlineStr">
        <is>
          <t>رانيا سعود المالكي</t>
        </is>
      </c>
      <c r="C25" s="32" t="inlineStr">
        <is>
          <t>1090002877</t>
        </is>
      </c>
      <c r="D25" s="33" t="inlineStr">
        <is>
          <t>ثالث/1</t>
        </is>
      </c>
      <c r="E25" s="32" t="inlineStr">
        <is>
          <t>أ. أمل العمري</t>
        </is>
      </c>
      <c r="F25" s="32" t="inlineStr">
        <is>
          <t>1446/08/15 هـ</t>
        </is>
      </c>
    </row>
    <row r="26" ht="20" customHeight="1">
      <c r="A26" s="34" t="n">
        <v>22</v>
      </c>
      <c r="B26" s="35" t="inlineStr">
        <is>
          <t>زينب عادل العجمي</t>
        </is>
      </c>
      <c r="C26" s="36" t="inlineStr">
        <is>
          <t>1090003014</t>
        </is>
      </c>
      <c r="D26" s="37" t="inlineStr">
        <is>
          <t>ثالث/1</t>
        </is>
      </c>
      <c r="E26" s="36" t="inlineStr">
        <is>
          <t>أ. أمل العمري</t>
        </is>
      </c>
      <c r="F26" s="36" t="inlineStr">
        <is>
          <t>1446/08/15 هـ</t>
        </is>
      </c>
    </row>
    <row r="27" ht="20" customHeight="1">
      <c r="A27" s="30" t="n">
        <v>23</v>
      </c>
      <c r="B27" s="31" t="inlineStr">
        <is>
          <t>فاطمة جاسم القرشي</t>
        </is>
      </c>
      <c r="C27" s="32" t="inlineStr">
        <is>
          <t>1090003151</t>
        </is>
      </c>
      <c r="D27" s="33" t="inlineStr">
        <is>
          <t>ثالث/1</t>
        </is>
      </c>
      <c r="E27" s="32" t="inlineStr">
        <is>
          <t>أ. أمل العمري</t>
        </is>
      </c>
      <c r="F27" s="32" t="inlineStr">
        <is>
          <t>1446/08/15 هـ</t>
        </is>
      </c>
    </row>
    <row r="28" ht="20" customHeight="1">
      <c r="A28" s="34" t="n">
        <v>24</v>
      </c>
      <c r="B28" s="35" t="inlineStr">
        <is>
          <t>عبير حمد المرزوقي</t>
        </is>
      </c>
      <c r="C28" s="36" t="inlineStr">
        <is>
          <t>1090003288</t>
        </is>
      </c>
      <c r="D28" s="37" t="inlineStr">
        <is>
          <t>ثالث/1</t>
        </is>
      </c>
      <c r="E28" s="36" t="inlineStr">
        <is>
          <t>أ. أمل العمري</t>
        </is>
      </c>
      <c r="F28" s="36" t="inlineStr">
        <is>
          <t>1446/08/15 هـ</t>
        </is>
      </c>
    </row>
    <row r="29" ht="20" customHeight="1">
      <c r="A29" s="30" t="n">
        <v>25</v>
      </c>
      <c r="B29" s="31" t="inlineStr">
        <is>
          <t>إيمان يحيى البقمي</t>
        </is>
      </c>
      <c r="C29" s="32" t="inlineStr">
        <is>
          <t>1090003425</t>
        </is>
      </c>
      <c r="D29" s="33" t="inlineStr">
        <is>
          <t>ثالث/1</t>
        </is>
      </c>
      <c r="E29" s="32" t="inlineStr">
        <is>
          <t>أ. أمل العمري</t>
        </is>
      </c>
      <c r="F29" s="32" t="inlineStr">
        <is>
          <t>1446/08/15 هـ</t>
        </is>
      </c>
    </row>
    <row r="30" ht="20" customHeight="1">
      <c r="A30" s="34" t="n">
        <v>26</v>
      </c>
      <c r="B30" s="35" t="inlineStr">
        <is>
          <t>شذى محمود الخالدي</t>
        </is>
      </c>
      <c r="C30" s="36" t="inlineStr">
        <is>
          <t>1090003562</t>
        </is>
      </c>
      <c r="D30" s="37" t="inlineStr">
        <is>
          <t>ثالث/1</t>
        </is>
      </c>
      <c r="E30" s="36" t="inlineStr">
        <is>
          <t>أ. أمل العمري</t>
        </is>
      </c>
      <c r="F30" s="36" t="inlineStr">
        <is>
          <t>1446/08/15 هـ</t>
        </is>
      </c>
    </row>
    <row r="31" ht="20" customHeight="1">
      <c r="A31" s="30" t="n">
        <v>27</v>
      </c>
      <c r="B31" s="31" t="inlineStr">
        <is>
          <t>ميرة وليد الصاعدي</t>
        </is>
      </c>
      <c r="C31" s="32" t="inlineStr">
        <is>
          <t>1090003699</t>
        </is>
      </c>
      <c r="D31" s="33" t="inlineStr">
        <is>
          <t>ثالث/1</t>
        </is>
      </c>
      <c r="E31" s="32" t="inlineStr">
        <is>
          <t>أ. أمل العمري</t>
        </is>
      </c>
      <c r="F31" s="32" t="inlineStr">
        <is>
          <t>1446/08/15 هـ</t>
        </is>
      </c>
    </row>
    <row r="32" ht="20" customHeight="1">
      <c r="A32" s="34" t="n">
        <v>28</v>
      </c>
      <c r="B32" s="35" t="inlineStr">
        <is>
          <t>نادية طارق الفهيدي</t>
        </is>
      </c>
      <c r="C32" s="36" t="inlineStr">
        <is>
          <t>1090003836</t>
        </is>
      </c>
      <c r="D32" s="37" t="inlineStr">
        <is>
          <t>ثالث/1</t>
        </is>
      </c>
      <c r="E32" s="36" t="inlineStr">
        <is>
          <t>أ. أمل العمري</t>
        </is>
      </c>
      <c r="F32" s="36" t="inlineStr">
        <is>
          <t>1446/08/15 هـ</t>
        </is>
      </c>
    </row>
    <row r="33" ht="20" customHeight="1">
      <c r="A33" s="30" t="n">
        <v>29</v>
      </c>
      <c r="B33" s="31" t="inlineStr">
        <is>
          <t>هيا سليمان العسيري</t>
        </is>
      </c>
      <c r="C33" s="32" t="inlineStr">
        <is>
          <t>1090003973</t>
        </is>
      </c>
      <c r="D33" s="33" t="inlineStr">
        <is>
          <t>ثالث/1</t>
        </is>
      </c>
      <c r="E33" s="32" t="inlineStr">
        <is>
          <t>أ. أمل العمري</t>
        </is>
      </c>
      <c r="F33" s="32" t="inlineStr">
        <is>
          <t>1446/08/15 هـ</t>
        </is>
      </c>
    </row>
    <row r="34" ht="20" customHeight="1">
      <c r="A34" s="34" t="n">
        <v>30</v>
      </c>
      <c r="B34" s="35" t="inlineStr">
        <is>
          <t>ألاء جمال الزيد</t>
        </is>
      </c>
      <c r="C34" s="36" t="inlineStr">
        <is>
          <t>1090004110</t>
        </is>
      </c>
      <c r="D34" s="37" t="inlineStr">
        <is>
          <t>ثالث/1</t>
        </is>
      </c>
      <c r="E34" s="36" t="inlineStr">
        <is>
          <t>أ. أمل العمري</t>
        </is>
      </c>
      <c r="F34" s="36" t="inlineStr">
        <is>
          <t>1446/08/15 هـ</t>
        </is>
      </c>
    </row>
    <row r="35" ht="20" customHeight="1">
      <c r="A35" s="30" t="n">
        <v>31</v>
      </c>
      <c r="B35" s="31" t="inlineStr">
        <is>
          <t>إيناس كريم الوادعي</t>
        </is>
      </c>
      <c r="C35" s="32" t="inlineStr">
        <is>
          <t>1090004247</t>
        </is>
      </c>
      <c r="D35" s="33" t="inlineStr">
        <is>
          <t>ثالث/1</t>
        </is>
      </c>
      <c r="E35" s="32" t="inlineStr">
        <is>
          <t>أ. أمل العمري</t>
        </is>
      </c>
      <c r="F35" s="32" t="inlineStr">
        <is>
          <t>1446/08/15 هـ</t>
        </is>
      </c>
    </row>
    <row r="36" ht="20" customHeight="1">
      <c r="A36" s="34" t="n">
        <v>32</v>
      </c>
      <c r="B36" s="35" t="inlineStr">
        <is>
          <t>رغد منصور الطيار</t>
        </is>
      </c>
      <c r="C36" s="36" t="inlineStr">
        <is>
          <t>1090004384</t>
        </is>
      </c>
      <c r="D36" s="37" t="inlineStr">
        <is>
          <t>ثالث/1</t>
        </is>
      </c>
      <c r="E36" s="36" t="inlineStr">
        <is>
          <t>أ. أمل العمري</t>
        </is>
      </c>
      <c r="F36" s="36" t="inlineStr">
        <is>
          <t>1446/08/15 هـ</t>
        </is>
      </c>
    </row>
    <row r="37" ht="20" customHeight="1">
      <c r="A37" s="30" t="n">
        <v>33</v>
      </c>
      <c r="B37" s="31" t="inlineStr">
        <is>
          <t>سلوى نادر الشريف</t>
        </is>
      </c>
      <c r="C37" s="32" t="inlineStr">
        <is>
          <t>1090004521</t>
        </is>
      </c>
      <c r="D37" s="33" t="inlineStr">
        <is>
          <t>ثالث/1</t>
        </is>
      </c>
      <c r="E37" s="32" t="inlineStr">
        <is>
          <t>أ. أمل العمري</t>
        </is>
      </c>
      <c r="F37" s="32" t="inlineStr">
        <is>
          <t>1446/08/15 هـ</t>
        </is>
      </c>
    </row>
    <row r="38" ht="20" customHeight="1">
      <c r="A38" s="34" t="n">
        <v>34</v>
      </c>
      <c r="B38" s="35" t="inlineStr">
        <is>
          <t>أحلام بدر السهلي</t>
        </is>
      </c>
      <c r="C38" s="36" t="inlineStr">
        <is>
          <t>1090004658</t>
        </is>
      </c>
      <c r="D38" s="37" t="inlineStr">
        <is>
          <t>ثالث/2</t>
        </is>
      </c>
      <c r="E38" s="36" t="inlineStr">
        <is>
          <t>أ. أمل العمري</t>
        </is>
      </c>
      <c r="F38" s="36" t="inlineStr">
        <is>
          <t>1446/08/15 هـ</t>
        </is>
      </c>
    </row>
    <row r="39" ht="20" customHeight="1">
      <c r="A39" s="30" t="n">
        <v>35</v>
      </c>
      <c r="B39" s="31" t="inlineStr">
        <is>
          <t>كوثر صالح البريكي</t>
        </is>
      </c>
      <c r="C39" s="32" t="inlineStr">
        <is>
          <t>1090004795</t>
        </is>
      </c>
      <c r="D39" s="33" t="inlineStr">
        <is>
          <t>ثالث/2</t>
        </is>
      </c>
      <c r="E39" s="32" t="inlineStr">
        <is>
          <t>أ. أمل العمري</t>
        </is>
      </c>
      <c r="F39" s="32" t="inlineStr">
        <is>
          <t>1446/08/15 هـ</t>
        </is>
      </c>
    </row>
    <row r="40" ht="20" customHeight="1">
      <c r="A40" s="34" t="n">
        <v>36</v>
      </c>
      <c r="B40" s="35" t="inlineStr">
        <is>
          <t>مضاوي هاشم الزيد</t>
        </is>
      </c>
      <c r="C40" s="36" t="inlineStr">
        <is>
          <t>1090004932</t>
        </is>
      </c>
      <c r="D40" s="37" t="inlineStr">
        <is>
          <t>ثالث/2</t>
        </is>
      </c>
      <c r="E40" s="36" t="inlineStr">
        <is>
          <t>أ. أمل العمري</t>
        </is>
      </c>
      <c r="F40" s="36" t="inlineStr">
        <is>
          <t>1446/08/15 هـ</t>
        </is>
      </c>
    </row>
    <row r="41" ht="20" customHeight="1">
      <c r="A41" s="30" t="n">
        <v>37</v>
      </c>
      <c r="B41" s="31" t="inlineStr">
        <is>
          <t>شروق عبدالعزيز المحيا</t>
        </is>
      </c>
      <c r="C41" s="32" t="inlineStr">
        <is>
          <t>1090005069</t>
        </is>
      </c>
      <c r="D41" s="33" t="inlineStr">
        <is>
          <t>ثالث/2</t>
        </is>
      </c>
      <c r="E41" s="32" t="inlineStr">
        <is>
          <t>أ. أمل العمري</t>
        </is>
      </c>
      <c r="F41" s="32" t="inlineStr">
        <is>
          <t>1446/08/15 هـ</t>
        </is>
      </c>
    </row>
    <row r="42" ht="20" customHeight="1">
      <c r="A42" s="34" t="n">
        <v>38</v>
      </c>
      <c r="B42" s="35" t="inlineStr">
        <is>
          <t>نسرين وائل القاسم</t>
        </is>
      </c>
      <c r="C42" s="36" t="inlineStr">
        <is>
          <t>1090005206</t>
        </is>
      </c>
      <c r="D42" s="37" t="inlineStr">
        <is>
          <t>ثالث/2</t>
        </is>
      </c>
      <c r="E42" s="36" t="inlineStr">
        <is>
          <t>أ. أمل العمري</t>
        </is>
      </c>
      <c r="F42" s="36" t="inlineStr">
        <is>
          <t>1446/08/15 هـ</t>
        </is>
      </c>
    </row>
    <row r="43" ht="20" customHeight="1">
      <c r="A43" s="30" t="n">
        <v>39</v>
      </c>
      <c r="B43" s="31" t="inlineStr">
        <is>
          <t>لجين ربيع الحميد</t>
        </is>
      </c>
      <c r="C43" s="32" t="inlineStr">
        <is>
          <t>1090005343</t>
        </is>
      </c>
      <c r="D43" s="33" t="inlineStr">
        <is>
          <t>ثالث/2</t>
        </is>
      </c>
      <c r="E43" s="32" t="inlineStr">
        <is>
          <t>أ. أمل العمري</t>
        </is>
      </c>
      <c r="F43" s="32" t="inlineStr">
        <is>
          <t>1446/08/15 هـ</t>
        </is>
      </c>
    </row>
    <row r="44" ht="20" customHeight="1">
      <c r="A44" s="34" t="n">
        <v>40</v>
      </c>
      <c r="B44" s="35" t="inlineStr">
        <is>
          <t>رشا أيمن القرني</t>
        </is>
      </c>
      <c r="C44" s="36" t="inlineStr">
        <is>
          <t>1090005480</t>
        </is>
      </c>
      <c r="D44" s="37" t="inlineStr">
        <is>
          <t>ثالث/2</t>
        </is>
      </c>
      <c r="E44" s="36" t="inlineStr">
        <is>
          <t>أ. أمل العمري</t>
        </is>
      </c>
      <c r="F44" s="36" t="inlineStr">
        <is>
          <t>1446/08/15 هـ</t>
        </is>
      </c>
    </row>
    <row r="45" ht="20" customHeight="1">
      <c r="A45" s="30" t="n">
        <v>41</v>
      </c>
      <c r="B45" s="31" t="inlineStr">
        <is>
          <t>ضحى مساعد الشلهوب</t>
        </is>
      </c>
      <c r="C45" s="32" t="inlineStr">
        <is>
          <t>1090005617</t>
        </is>
      </c>
      <c r="D45" s="33" t="inlineStr">
        <is>
          <t>ثالث/2</t>
        </is>
      </c>
      <c r="E45" s="32" t="inlineStr">
        <is>
          <t>أ. أمل العمري</t>
        </is>
      </c>
      <c r="F45" s="32" t="inlineStr">
        <is>
          <t>1446/08/15 هـ</t>
        </is>
      </c>
    </row>
    <row r="46" ht="20" customHeight="1">
      <c r="A46" s="34" t="n">
        <v>42</v>
      </c>
      <c r="B46" s="35" t="inlineStr">
        <is>
          <t>نوف عبدالكريم الدغيثر</t>
        </is>
      </c>
      <c r="C46" s="36" t="inlineStr">
        <is>
          <t>1090005754</t>
        </is>
      </c>
      <c r="D46" s="37" t="inlineStr">
        <is>
          <t>ثالث/2</t>
        </is>
      </c>
      <c r="E46" s="36" t="inlineStr">
        <is>
          <t>أ. أمل العمري</t>
        </is>
      </c>
      <c r="F46" s="36" t="inlineStr">
        <is>
          <t>1446/08/15 هـ</t>
        </is>
      </c>
    </row>
    <row r="47" ht="20" customHeight="1">
      <c r="A47" s="30" t="n">
        <v>43</v>
      </c>
      <c r="B47" s="31" t="inlineStr">
        <is>
          <t>جواهر راكان الحربي</t>
        </is>
      </c>
      <c r="C47" s="32" t="inlineStr">
        <is>
          <t>1090005891</t>
        </is>
      </c>
      <c r="D47" s="33" t="inlineStr">
        <is>
          <t>ثالث/2</t>
        </is>
      </c>
      <c r="E47" s="32" t="inlineStr">
        <is>
          <t>أ. أمل العمري</t>
        </is>
      </c>
      <c r="F47" s="32" t="inlineStr">
        <is>
          <t>1446/08/15 هـ</t>
        </is>
      </c>
    </row>
    <row r="48" ht="20" customHeight="1">
      <c r="A48" s="34" t="n">
        <v>44</v>
      </c>
      <c r="B48" s="35" t="inlineStr">
        <is>
          <t>سناء حاتم اليامي</t>
        </is>
      </c>
      <c r="C48" s="36" t="inlineStr">
        <is>
          <t>1090006028</t>
        </is>
      </c>
      <c r="D48" s="37" t="inlineStr">
        <is>
          <t>ثالث/2</t>
        </is>
      </c>
      <c r="E48" s="36" t="inlineStr">
        <is>
          <t>أ. أمل العمري</t>
        </is>
      </c>
      <c r="F48" s="36" t="inlineStr">
        <is>
          <t>1446/08/15 هـ</t>
        </is>
      </c>
    </row>
    <row r="49" ht="20" customHeight="1">
      <c r="A49" s="30" t="n">
        <v>45</v>
      </c>
      <c r="B49" s="31" t="inlineStr">
        <is>
          <t>مروة دخيل السبيعي</t>
        </is>
      </c>
      <c r="C49" s="32" t="inlineStr">
        <is>
          <t>1090006165</t>
        </is>
      </c>
      <c r="D49" s="33" t="inlineStr">
        <is>
          <t>ثالث/2</t>
        </is>
      </c>
      <c r="E49" s="32" t="inlineStr">
        <is>
          <t>أ. أمل العمري</t>
        </is>
      </c>
      <c r="F49" s="32" t="inlineStr">
        <is>
          <t>1446/08/15 هـ</t>
        </is>
      </c>
    </row>
    <row r="50" ht="20" customHeight="1">
      <c r="A50" s="34" t="n">
        <v>46</v>
      </c>
      <c r="B50" s="35" t="inlineStr">
        <is>
          <t>وجد بندر الرشود</t>
        </is>
      </c>
      <c r="C50" s="36" t="inlineStr">
        <is>
          <t>1090006302</t>
        </is>
      </c>
      <c r="D50" s="37" t="inlineStr">
        <is>
          <t>ثالث/2</t>
        </is>
      </c>
      <c r="E50" s="36" t="inlineStr">
        <is>
          <t>أ. أمل العمري</t>
        </is>
      </c>
      <c r="F50" s="36" t="inlineStr">
        <is>
          <t>1446/08/15 هـ</t>
        </is>
      </c>
    </row>
    <row r="51" ht="20" customHeight="1">
      <c r="A51" s="30" t="n">
        <v>47</v>
      </c>
      <c r="B51" s="31" t="inlineStr">
        <is>
          <t>فرح قاسم الدوسري</t>
        </is>
      </c>
      <c r="C51" s="32" t="inlineStr">
        <is>
          <t>1090006439</t>
        </is>
      </c>
      <c r="D51" s="33" t="inlineStr">
        <is>
          <t>ثالث/2</t>
        </is>
      </c>
      <c r="E51" s="32" t="inlineStr">
        <is>
          <t>أ. أمل العمري</t>
        </is>
      </c>
      <c r="F51" s="32" t="inlineStr">
        <is>
          <t>1446/08/15 هـ</t>
        </is>
      </c>
    </row>
    <row r="52" ht="20" customHeight="1">
      <c r="A52" s="34" t="n">
        <v>48</v>
      </c>
      <c r="B52" s="35" t="inlineStr">
        <is>
          <t>أريج مطلق الشمراني</t>
        </is>
      </c>
      <c r="C52" s="36" t="inlineStr">
        <is>
          <t>1090006576</t>
        </is>
      </c>
      <c r="D52" s="37" t="inlineStr">
        <is>
          <t>ثالث/2</t>
        </is>
      </c>
      <c r="E52" s="36" t="inlineStr">
        <is>
          <t>أ. أمل العمري</t>
        </is>
      </c>
      <c r="F52" s="36" t="inlineStr">
        <is>
          <t>1446/08/15 هـ</t>
        </is>
      </c>
    </row>
    <row r="53" ht="20" customHeight="1">
      <c r="A53" s="30" t="n">
        <v>49</v>
      </c>
      <c r="B53" s="31" t="inlineStr">
        <is>
          <t>تالا زيد الحسيني</t>
        </is>
      </c>
      <c r="C53" s="32" t="inlineStr">
        <is>
          <t>1090006713</t>
        </is>
      </c>
      <c r="D53" s="33" t="inlineStr">
        <is>
          <t>ثالث/2</t>
        </is>
      </c>
      <c r="E53" s="32" t="inlineStr">
        <is>
          <t>أ. أمل العمري</t>
        </is>
      </c>
      <c r="F53" s="32" t="inlineStr">
        <is>
          <t>1446/08/15 هـ</t>
        </is>
      </c>
    </row>
    <row r="54" ht="20" customHeight="1">
      <c r="A54" s="34" t="n">
        <v>50</v>
      </c>
      <c r="B54" s="35" t="inlineStr">
        <is>
          <t>ليان أسامة الفالح</t>
        </is>
      </c>
      <c r="C54" s="36" t="inlineStr">
        <is>
          <t>1090006850</t>
        </is>
      </c>
      <c r="D54" s="37" t="inlineStr">
        <is>
          <t>ثالث/2</t>
        </is>
      </c>
      <c r="E54" s="36" t="inlineStr">
        <is>
          <t>أ. أمل العمري</t>
        </is>
      </c>
      <c r="F54" s="36" t="inlineStr">
        <is>
          <t>1446/08/15 هـ</t>
        </is>
      </c>
    </row>
    <row r="55" ht="20" customHeight="1">
      <c r="A55" s="30" t="n">
        <v>51</v>
      </c>
      <c r="B55" s="31" t="inlineStr">
        <is>
          <t>نهى أنور الصغير</t>
        </is>
      </c>
      <c r="C55" s="32" t="inlineStr">
        <is>
          <t>1090006987</t>
        </is>
      </c>
      <c r="D55" s="33" t="inlineStr">
        <is>
          <t>ثالث/2</t>
        </is>
      </c>
      <c r="E55" s="32" t="inlineStr">
        <is>
          <t>أ. أمل العمري</t>
        </is>
      </c>
      <c r="F55" s="32" t="inlineStr">
        <is>
          <t>1446/08/15 هـ</t>
        </is>
      </c>
    </row>
    <row r="56" ht="20" customHeight="1">
      <c r="A56" s="34" t="n">
        <v>52</v>
      </c>
      <c r="B56" s="35" t="inlineStr">
        <is>
          <t>ريهام كمال المغربي</t>
        </is>
      </c>
      <c r="C56" s="36" t="inlineStr">
        <is>
          <t>1090007124</t>
        </is>
      </c>
      <c r="D56" s="37" t="inlineStr">
        <is>
          <t>ثالث/2</t>
        </is>
      </c>
      <c r="E56" s="36" t="inlineStr">
        <is>
          <t>أ. أمل العمري</t>
        </is>
      </c>
      <c r="F56" s="36" t="inlineStr">
        <is>
          <t>1446/08/15 هـ</t>
        </is>
      </c>
    </row>
    <row r="57" ht="20" customHeight="1">
      <c r="A57" s="30" t="n">
        <v>53</v>
      </c>
      <c r="B57" s="31" t="inlineStr">
        <is>
          <t>دلال وضاح العوفي</t>
        </is>
      </c>
      <c r="C57" s="32" t="inlineStr">
        <is>
          <t>1090007261</t>
        </is>
      </c>
      <c r="D57" s="33" t="inlineStr">
        <is>
          <t>ثالث/2</t>
        </is>
      </c>
      <c r="E57" s="32" t="inlineStr">
        <is>
          <t>أ. أمل العمري</t>
        </is>
      </c>
      <c r="F57" s="32" t="inlineStr">
        <is>
          <t>1446/08/15 هـ</t>
        </is>
      </c>
    </row>
    <row r="58" ht="20" customHeight="1">
      <c r="A58" s="34" t="n">
        <v>54</v>
      </c>
      <c r="B58" s="35" t="inlineStr">
        <is>
          <t>حنان جابر الفريدي</t>
        </is>
      </c>
      <c r="C58" s="36" t="inlineStr">
        <is>
          <t>1090007398</t>
        </is>
      </c>
      <c r="D58" s="37" t="inlineStr">
        <is>
          <t>ثالث/2</t>
        </is>
      </c>
      <c r="E58" s="36" t="inlineStr">
        <is>
          <t>أ. أمل العمري</t>
        </is>
      </c>
      <c r="F58" s="36" t="inlineStr">
        <is>
          <t>1446/08/15 هـ</t>
        </is>
      </c>
    </row>
    <row r="59" ht="20" customHeight="1">
      <c r="A59" s="30" t="n">
        <v>55</v>
      </c>
      <c r="B59" s="31" t="inlineStr">
        <is>
          <t>سوسن رياض المصعبي</t>
        </is>
      </c>
      <c r="C59" s="32" t="inlineStr">
        <is>
          <t>1090007535</t>
        </is>
      </c>
      <c r="D59" s="33" t="inlineStr">
        <is>
          <t>ثالث/2</t>
        </is>
      </c>
      <c r="E59" s="32" t="inlineStr">
        <is>
          <t>أ. أمل العمري</t>
        </is>
      </c>
      <c r="F59" s="32" t="inlineStr">
        <is>
          <t>1446/08/15 هـ</t>
        </is>
      </c>
    </row>
    <row r="60" ht="20" customHeight="1">
      <c r="A60" s="34" t="n">
        <v>56</v>
      </c>
      <c r="B60" s="35" t="inlineStr">
        <is>
          <t>أنوار طلال الزيد</t>
        </is>
      </c>
      <c r="C60" s="36" t="inlineStr">
        <is>
          <t>1090007672</t>
        </is>
      </c>
      <c r="D60" s="37" t="inlineStr">
        <is>
          <t>ثالث/2</t>
        </is>
      </c>
      <c r="E60" s="36" t="inlineStr">
        <is>
          <t>أ. أمل العمري</t>
        </is>
      </c>
      <c r="F60" s="36" t="inlineStr">
        <is>
          <t>1446/08/15 هـ</t>
        </is>
      </c>
    </row>
    <row r="61" ht="20" customHeight="1">
      <c r="A61" s="30" t="n">
        <v>57</v>
      </c>
      <c r="B61" s="31" t="inlineStr">
        <is>
          <t>براءة مازن البحيري</t>
        </is>
      </c>
      <c r="C61" s="32" t="inlineStr">
        <is>
          <t>1090007809</t>
        </is>
      </c>
      <c r="D61" s="33" t="inlineStr">
        <is>
          <t>ثالث/2</t>
        </is>
      </c>
      <c r="E61" s="32" t="inlineStr">
        <is>
          <t>أ. أمل العمري</t>
        </is>
      </c>
      <c r="F61" s="32" t="inlineStr">
        <is>
          <t>1446/08/15 هـ</t>
        </is>
      </c>
    </row>
    <row r="62" ht="20" customHeight="1">
      <c r="A62" s="34" t="n">
        <v>58</v>
      </c>
      <c r="B62" s="35" t="inlineStr">
        <is>
          <t>ثريا بكر المطرفي</t>
        </is>
      </c>
      <c r="C62" s="36" t="inlineStr">
        <is>
          <t>1090007946</t>
        </is>
      </c>
      <c r="D62" s="37" t="inlineStr">
        <is>
          <t>ثالث/2</t>
        </is>
      </c>
      <c r="E62" s="36" t="inlineStr">
        <is>
          <t>أ. أمل العمري</t>
        </is>
      </c>
      <c r="F62" s="36" t="inlineStr">
        <is>
          <t>1446/08/15 هـ</t>
        </is>
      </c>
    </row>
    <row r="63" ht="20" customHeight="1">
      <c r="A63" s="30" t="n">
        <v>59</v>
      </c>
      <c r="B63" s="31" t="inlineStr">
        <is>
          <t>عائشة قيس الحازمي</t>
        </is>
      </c>
      <c r="C63" s="32" t="inlineStr">
        <is>
          <t>1090008083</t>
        </is>
      </c>
      <c r="D63" s="33" t="inlineStr">
        <is>
          <t>ثالث/2</t>
        </is>
      </c>
      <c r="E63" s="32" t="inlineStr">
        <is>
          <t>أ. أمل العمري</t>
        </is>
      </c>
      <c r="F63" s="32" t="inlineStr">
        <is>
          <t>1446/08/15 هـ</t>
        </is>
      </c>
    </row>
    <row r="64" ht="20" customHeight="1">
      <c r="A64" s="34" t="n">
        <v>60</v>
      </c>
      <c r="B64" s="35" t="inlineStr">
        <is>
          <t>زهرة وسام السبيعي</t>
        </is>
      </c>
      <c r="C64" s="36" t="inlineStr">
        <is>
          <t>1090008220</t>
        </is>
      </c>
      <c r="D64" s="37" t="inlineStr">
        <is>
          <t>ثالث/2</t>
        </is>
      </c>
      <c r="E64" s="36" t="inlineStr">
        <is>
          <t>أ. أمل العمري</t>
        </is>
      </c>
      <c r="F64" s="36" t="inlineStr">
        <is>
          <t>1446/08/15 هـ</t>
        </is>
      </c>
    </row>
    <row r="65" ht="20" customHeight="1">
      <c r="A65" s="30" t="n">
        <v>61</v>
      </c>
      <c r="B65" s="31" t="inlineStr">
        <is>
          <t>ودان خلف الرويلي</t>
        </is>
      </c>
      <c r="C65" s="32" t="inlineStr">
        <is>
          <t>1090008357</t>
        </is>
      </c>
      <c r="D65" s="33" t="inlineStr">
        <is>
          <t>ثالث/2</t>
        </is>
      </c>
      <c r="E65" s="32" t="inlineStr">
        <is>
          <t>أ. أمل العمري</t>
        </is>
      </c>
      <c r="F65" s="32" t="inlineStr">
        <is>
          <t>1446/08/15 هـ</t>
        </is>
      </c>
    </row>
    <row r="66" ht="20" customHeight="1">
      <c r="A66" s="34" t="n">
        <v>62</v>
      </c>
      <c r="B66" s="35" t="inlineStr">
        <is>
          <t>لارا مهند الحميدي</t>
        </is>
      </c>
      <c r="C66" s="36" t="inlineStr">
        <is>
          <t>1090008494</t>
        </is>
      </c>
      <c r="D66" s="37" t="inlineStr">
        <is>
          <t>ثالث/2</t>
        </is>
      </c>
      <c r="E66" s="36" t="inlineStr">
        <is>
          <t>أ. أمل العمري</t>
        </is>
      </c>
      <c r="F66" s="36" t="inlineStr">
        <is>
          <t>1446/08/15 هـ</t>
        </is>
      </c>
    </row>
    <row r="67" ht="20" customHeight="1">
      <c r="A67" s="30" t="n">
        <v>63</v>
      </c>
      <c r="B67" s="31" t="inlineStr">
        <is>
          <t>رؤى عصام المولد</t>
        </is>
      </c>
      <c r="C67" s="32" t="inlineStr">
        <is>
          <t>1090008631</t>
        </is>
      </c>
      <c r="D67" s="33" t="inlineStr">
        <is>
          <t>ثالث/2</t>
        </is>
      </c>
      <c r="E67" s="32" t="inlineStr">
        <is>
          <t>أ. أمل العمري</t>
        </is>
      </c>
      <c r="F67" s="32" t="inlineStr">
        <is>
          <t>1446/08/15 هـ</t>
        </is>
      </c>
    </row>
    <row r="68" ht="20" customHeight="1">
      <c r="A68" s="34" t="n">
        <v>64</v>
      </c>
      <c r="B68" s="35" t="inlineStr">
        <is>
          <t>بتول أديب الحسن</t>
        </is>
      </c>
      <c r="C68" s="36" t="inlineStr">
        <is>
          <t>1090008768</t>
        </is>
      </c>
      <c r="D68" s="37" t="inlineStr">
        <is>
          <t>ثالث/2</t>
        </is>
      </c>
      <c r="E68" s="36" t="inlineStr">
        <is>
          <t>أ. أمل العمري</t>
        </is>
      </c>
      <c r="F68" s="36" t="inlineStr">
        <is>
          <t>1446/08/15 هـ</t>
        </is>
      </c>
    </row>
    <row r="69" ht="20" customHeight="1">
      <c r="A69" s="30" t="n">
        <v>65</v>
      </c>
      <c r="B69" s="31" t="inlineStr">
        <is>
          <t>صفاء مطر الشهراني</t>
        </is>
      </c>
      <c r="C69" s="32" t="inlineStr">
        <is>
          <t>1090008905</t>
        </is>
      </c>
      <c r="D69" s="33" t="inlineStr">
        <is>
          <t>ثالث/2</t>
        </is>
      </c>
      <c r="E69" s="32" t="inlineStr">
        <is>
          <t>أ. أمل العمري</t>
        </is>
      </c>
      <c r="F69" s="32" t="inlineStr">
        <is>
          <t>1446/08/15 هـ</t>
        </is>
      </c>
    </row>
    <row r="70" ht="20" customHeight="1">
      <c r="A70" s="34" t="n">
        <v>66</v>
      </c>
      <c r="B70" s="35" t="inlineStr">
        <is>
          <t>علا فارس السليم</t>
        </is>
      </c>
      <c r="C70" s="36" t="inlineStr">
        <is>
          <t>1090009042</t>
        </is>
      </c>
      <c r="D70" s="37" t="inlineStr">
        <is>
          <t>ثالث/2</t>
        </is>
      </c>
      <c r="E70" s="36" t="inlineStr">
        <is>
          <t>أ. أمل العمري</t>
        </is>
      </c>
      <c r="F70" s="36" t="inlineStr">
        <is>
          <t>1446/08/15 هـ</t>
        </is>
      </c>
    </row>
    <row r="71" ht="20" customHeight="1">
      <c r="A71" s="30" t="n">
        <v>67</v>
      </c>
      <c r="B71" s="31" t="inlineStr">
        <is>
          <t>لولوة ضيف الله الرشيد</t>
        </is>
      </c>
      <c r="C71" s="32" t="inlineStr">
        <is>
          <t>1090009179</t>
        </is>
      </c>
      <c r="D71" s="33" t="inlineStr">
        <is>
          <t>ثالث/3</t>
        </is>
      </c>
      <c r="E71" s="32" t="inlineStr">
        <is>
          <t>أ. أمل العمري</t>
        </is>
      </c>
      <c r="F71" s="32" t="inlineStr">
        <is>
          <t>1446/08/15 هـ</t>
        </is>
      </c>
    </row>
    <row r="72" ht="20" customHeight="1">
      <c r="A72" s="34" t="n">
        <v>68</v>
      </c>
      <c r="B72" s="35" t="inlineStr">
        <is>
          <t>حياة سامي العلياني</t>
        </is>
      </c>
      <c r="C72" s="36" t="inlineStr">
        <is>
          <t>1090009316</t>
        </is>
      </c>
      <c r="D72" s="37" t="inlineStr">
        <is>
          <t>ثالث/3</t>
        </is>
      </c>
      <c r="E72" s="36" t="inlineStr">
        <is>
          <t>أ. أمل العمري</t>
        </is>
      </c>
      <c r="F72" s="36" t="inlineStr">
        <is>
          <t>1446/08/15 هـ</t>
        </is>
      </c>
    </row>
    <row r="73" ht="20" customHeight="1">
      <c r="A73" s="30" t="n">
        <v>69</v>
      </c>
      <c r="B73" s="31" t="inlineStr">
        <is>
          <t>منى جلال اليوسف</t>
        </is>
      </c>
      <c r="C73" s="32" t="inlineStr">
        <is>
          <t>1090009453</t>
        </is>
      </c>
      <c r="D73" s="33" t="inlineStr">
        <is>
          <t>ثالث/3</t>
        </is>
      </c>
      <c r="E73" s="32" t="inlineStr">
        <is>
          <t>أ. أمل العمري</t>
        </is>
      </c>
      <c r="F73" s="32" t="inlineStr">
        <is>
          <t>1446/08/15 هـ</t>
        </is>
      </c>
    </row>
    <row r="74" ht="20" customHeight="1">
      <c r="A74" s="34" t="n">
        <v>70</v>
      </c>
      <c r="B74" s="35" t="inlineStr">
        <is>
          <t>أميمة طه الجحدلي</t>
        </is>
      </c>
      <c r="C74" s="36" t="inlineStr">
        <is>
          <t>1090009590</t>
        </is>
      </c>
      <c r="D74" s="37" t="inlineStr">
        <is>
          <t>ثالث/3</t>
        </is>
      </c>
      <c r="E74" s="36" t="inlineStr">
        <is>
          <t>أ. أمل العمري</t>
        </is>
      </c>
      <c r="F74" s="36" t="inlineStr">
        <is>
          <t>1446/08/15 هـ</t>
        </is>
      </c>
    </row>
    <row r="75" ht="20" customHeight="1">
      <c r="A75" s="30" t="n">
        <v>71</v>
      </c>
      <c r="B75" s="31" t="inlineStr">
        <is>
          <t>حكيمة غازي المطيري</t>
        </is>
      </c>
      <c r="C75" s="32" t="inlineStr">
        <is>
          <t>1090009727</t>
        </is>
      </c>
      <c r="D75" s="33" t="inlineStr">
        <is>
          <t>ثالث/3</t>
        </is>
      </c>
      <c r="E75" s="32" t="inlineStr">
        <is>
          <t>أ. أمل العمري</t>
        </is>
      </c>
      <c r="F75" s="32" t="inlineStr">
        <is>
          <t>1446/08/15 هـ</t>
        </is>
      </c>
    </row>
    <row r="76" ht="20" customHeight="1">
      <c r="A76" s="34" t="n">
        <v>72</v>
      </c>
      <c r="B76" s="35" t="inlineStr">
        <is>
          <t>إسراء رمزي البلوي</t>
        </is>
      </c>
      <c r="C76" s="36" t="inlineStr">
        <is>
          <t>1090009864</t>
        </is>
      </c>
      <c r="D76" s="37" t="inlineStr">
        <is>
          <t>ثالث/3</t>
        </is>
      </c>
      <c r="E76" s="36" t="inlineStr">
        <is>
          <t>أ. أمل العمري</t>
        </is>
      </c>
      <c r="F76" s="36" t="inlineStr">
        <is>
          <t>1446/08/15 هـ</t>
        </is>
      </c>
    </row>
    <row r="77" ht="20" customHeight="1">
      <c r="A77" s="30" t="n">
        <v>73</v>
      </c>
      <c r="B77" s="31" t="inlineStr">
        <is>
          <t>أفنان حمزة الحازمي</t>
        </is>
      </c>
      <c r="C77" s="32" t="inlineStr">
        <is>
          <t>1090010001</t>
        </is>
      </c>
      <c r="D77" s="33" t="inlineStr">
        <is>
          <t>ثالث/3</t>
        </is>
      </c>
      <c r="E77" s="32" t="inlineStr">
        <is>
          <t>أ. أمل العمري</t>
        </is>
      </c>
      <c r="F77" s="32" t="inlineStr">
        <is>
          <t>1446/08/15 هـ</t>
        </is>
      </c>
    </row>
    <row r="78" ht="20" customHeight="1">
      <c r="A78" s="34" t="n">
        <v>74</v>
      </c>
      <c r="B78" s="35" t="inlineStr">
        <is>
          <t>نغم لؤي الشريف</t>
        </is>
      </c>
      <c r="C78" s="36" t="inlineStr">
        <is>
          <t>1090010138</t>
        </is>
      </c>
      <c r="D78" s="37" t="inlineStr">
        <is>
          <t>ثالث/3</t>
        </is>
      </c>
      <c r="E78" s="36" t="inlineStr">
        <is>
          <t>أ. أمل العمري</t>
        </is>
      </c>
      <c r="F78" s="36" t="inlineStr">
        <is>
          <t>1446/08/15 هـ</t>
        </is>
      </c>
    </row>
    <row r="79" ht="20" customHeight="1">
      <c r="A79" s="30" t="n">
        <v>75</v>
      </c>
      <c r="B79" s="31" t="inlineStr">
        <is>
          <t>ولاء مشعل الغامدي</t>
        </is>
      </c>
      <c r="C79" s="32" t="inlineStr">
        <is>
          <t>1090010275</t>
        </is>
      </c>
      <c r="D79" s="33" t="inlineStr">
        <is>
          <t>ثالث/3</t>
        </is>
      </c>
      <c r="E79" s="32" t="inlineStr">
        <is>
          <t>أ. أمل العمري</t>
        </is>
      </c>
      <c r="F79" s="32" t="inlineStr">
        <is>
          <t>1446/08/15 هـ</t>
        </is>
      </c>
    </row>
    <row r="80" ht="20" customHeight="1">
      <c r="A80" s="34" t="n">
        <v>76</v>
      </c>
      <c r="B80" s="35" t="inlineStr">
        <is>
          <t>وصال فتحي العمري</t>
        </is>
      </c>
      <c r="C80" s="36" t="inlineStr">
        <is>
          <t>1090010412</t>
        </is>
      </c>
      <c r="D80" s="37" t="inlineStr">
        <is>
          <t>ثالث/3</t>
        </is>
      </c>
      <c r="E80" s="36" t="inlineStr">
        <is>
          <t>أ. أمل العمري</t>
        </is>
      </c>
      <c r="F80" s="36" t="inlineStr">
        <is>
          <t>1446/08/15 هـ</t>
        </is>
      </c>
    </row>
    <row r="81" ht="20" customHeight="1">
      <c r="A81" s="30" t="n">
        <v>77</v>
      </c>
      <c r="B81" s="31" t="inlineStr">
        <is>
          <t>ملاك عارف الزهراني</t>
        </is>
      </c>
      <c r="C81" s="32" t="inlineStr">
        <is>
          <t>1090010549</t>
        </is>
      </c>
      <c r="D81" s="33" t="inlineStr">
        <is>
          <t>ثالث/3</t>
        </is>
      </c>
      <c r="E81" s="32" t="inlineStr">
        <is>
          <t>أ. أمل العمري</t>
        </is>
      </c>
      <c r="F81" s="32" t="inlineStr">
        <is>
          <t>1446/08/15 هـ</t>
        </is>
      </c>
    </row>
    <row r="82" ht="20" customHeight="1">
      <c r="A82" s="34" t="n">
        <v>78</v>
      </c>
      <c r="B82" s="35" t="inlineStr">
        <is>
          <t>تهاني كاظم الجهني</t>
        </is>
      </c>
      <c r="C82" s="36" t="inlineStr">
        <is>
          <t>1090010686</t>
        </is>
      </c>
      <c r="D82" s="37" t="inlineStr">
        <is>
          <t>ثالث/3</t>
        </is>
      </c>
      <c r="E82" s="36" t="inlineStr">
        <is>
          <t>أ. أمل العمري</t>
        </is>
      </c>
      <c r="F82" s="36" t="inlineStr">
        <is>
          <t>1446/08/15 هـ</t>
        </is>
      </c>
    </row>
    <row r="83" ht="20" customHeight="1">
      <c r="A83" s="30" t="n">
        <v>79</v>
      </c>
      <c r="B83" s="31" t="inlineStr">
        <is>
          <t>زيان صادق الشمري</t>
        </is>
      </c>
      <c r="C83" s="32" t="inlineStr">
        <is>
          <t>1090010823</t>
        </is>
      </c>
      <c r="D83" s="33" t="inlineStr">
        <is>
          <t>ثالث/3</t>
        </is>
      </c>
      <c r="E83" s="32" t="inlineStr">
        <is>
          <t>أ. أمل العمري</t>
        </is>
      </c>
      <c r="F83" s="32" t="inlineStr">
        <is>
          <t>1446/08/15 هـ</t>
        </is>
      </c>
    </row>
    <row r="84" ht="20" customHeight="1">
      <c r="A84" s="34" t="n">
        <v>80</v>
      </c>
      <c r="B84" s="35" t="inlineStr">
        <is>
          <t>أسيل أشرف العتيبي</t>
        </is>
      </c>
      <c r="C84" s="36" t="inlineStr">
        <is>
          <t>1090010960</t>
        </is>
      </c>
      <c r="D84" s="37" t="inlineStr">
        <is>
          <t>ثالث/3</t>
        </is>
      </c>
      <c r="E84" s="36" t="inlineStr">
        <is>
          <t>أ. أمل العمري</t>
        </is>
      </c>
      <c r="F84" s="36" t="inlineStr">
        <is>
          <t>1446/08/15 هـ</t>
        </is>
      </c>
    </row>
    <row r="85" ht="20" customHeight="1">
      <c r="A85" s="30" t="n">
        <v>81</v>
      </c>
      <c r="B85" s="31" t="inlineStr">
        <is>
          <t>روان ثامر المري</t>
        </is>
      </c>
      <c r="C85" s="32" t="inlineStr">
        <is>
          <t>1090011097</t>
        </is>
      </c>
      <c r="D85" s="33" t="inlineStr">
        <is>
          <t>ثالث/3</t>
        </is>
      </c>
      <c r="E85" s="32" t="inlineStr">
        <is>
          <t>أ. أمل العمري</t>
        </is>
      </c>
      <c r="F85" s="32" t="inlineStr">
        <is>
          <t>1446/08/15 هـ</t>
        </is>
      </c>
    </row>
    <row r="86" ht="20" customHeight="1">
      <c r="A86" s="34" t="n">
        <v>82</v>
      </c>
      <c r="B86" s="35" t="inlineStr">
        <is>
          <t>أنس سمير القحطاني</t>
        </is>
      </c>
      <c r="C86" s="36" t="inlineStr">
        <is>
          <t>1090011234</t>
        </is>
      </c>
      <c r="D86" s="37" t="inlineStr">
        <is>
          <t>ثالث/3</t>
        </is>
      </c>
      <c r="E86" s="36" t="inlineStr">
        <is>
          <t>أ. أمل العمري</t>
        </is>
      </c>
      <c r="F86" s="36" t="inlineStr">
        <is>
          <t>1446/08/15 هـ</t>
        </is>
      </c>
    </row>
    <row r="87" ht="20" customHeight="1">
      <c r="A87" s="30" t="n">
        <v>83</v>
      </c>
      <c r="B87" s="31" t="inlineStr">
        <is>
          <t>حلا ظافر السلمي</t>
        </is>
      </c>
      <c r="C87" s="32" t="inlineStr">
        <is>
          <t>1090011371</t>
        </is>
      </c>
      <c r="D87" s="33" t="inlineStr">
        <is>
          <t>ثالث/3</t>
        </is>
      </c>
      <c r="E87" s="32" t="inlineStr">
        <is>
          <t>أ. أمل العمري</t>
        </is>
      </c>
      <c r="F87" s="32" t="inlineStr">
        <is>
          <t>1446/08/15 هـ</t>
        </is>
      </c>
    </row>
    <row r="88" ht="20" customHeight="1">
      <c r="A88" s="34" t="n">
        <v>84</v>
      </c>
      <c r="B88" s="35" t="inlineStr">
        <is>
          <t>شفاء ماهر الرشيدي</t>
        </is>
      </c>
      <c r="C88" s="36" t="inlineStr">
        <is>
          <t>1090011508</t>
        </is>
      </c>
      <c r="D88" s="37" t="inlineStr">
        <is>
          <t>ثالث/3</t>
        </is>
      </c>
      <c r="E88" s="36" t="inlineStr">
        <is>
          <t>أ. أمل العمري</t>
        </is>
      </c>
      <c r="F88" s="36" t="inlineStr">
        <is>
          <t>1446/08/15 هـ</t>
        </is>
      </c>
    </row>
    <row r="89" ht="20" customHeight="1">
      <c r="A89" s="30" t="n">
        <v>85</v>
      </c>
      <c r="B89" s="31" t="inlineStr">
        <is>
          <t>نبأ وليد الدويش</t>
        </is>
      </c>
      <c r="C89" s="32" t="inlineStr">
        <is>
          <t>1090011645</t>
        </is>
      </c>
      <c r="D89" s="33" t="inlineStr">
        <is>
          <t>ثالث/3</t>
        </is>
      </c>
      <c r="E89" s="32" t="inlineStr">
        <is>
          <t>أ. أمل العمري</t>
        </is>
      </c>
      <c r="F89" s="32" t="inlineStr">
        <is>
          <t>1446/08/15 هـ</t>
        </is>
      </c>
    </row>
    <row r="90" ht="20" customHeight="1">
      <c r="A90" s="34" t="n">
        <v>86</v>
      </c>
      <c r="B90" s="35" t="inlineStr">
        <is>
          <t>ذكرى تركي العنزي</t>
        </is>
      </c>
      <c r="C90" s="36" t="inlineStr">
        <is>
          <t>1090011782</t>
        </is>
      </c>
      <c r="D90" s="37" t="inlineStr">
        <is>
          <t>ثالث/3</t>
        </is>
      </c>
      <c r="E90" s="36" t="inlineStr">
        <is>
          <t>أ. أمل العمري</t>
        </is>
      </c>
      <c r="F90" s="36" t="inlineStr">
        <is>
          <t>1446/08/15 هـ</t>
        </is>
      </c>
    </row>
    <row r="91" ht="20" customHeight="1">
      <c r="A91" s="30" t="n">
        <v>87</v>
      </c>
      <c r="B91" s="31" t="inlineStr">
        <is>
          <t>سما هادي الحربي</t>
        </is>
      </c>
      <c r="C91" s="32" t="inlineStr">
        <is>
          <t>1090011919</t>
        </is>
      </c>
      <c r="D91" s="33" t="inlineStr">
        <is>
          <t>ثالث/3</t>
        </is>
      </c>
      <c r="E91" s="32" t="inlineStr">
        <is>
          <t>أ. أمل العمري</t>
        </is>
      </c>
      <c r="F91" s="32" t="inlineStr">
        <is>
          <t>1446/08/15 هـ</t>
        </is>
      </c>
    </row>
    <row r="92" ht="20" customHeight="1">
      <c r="A92" s="34" t="n">
        <v>88</v>
      </c>
      <c r="B92" s="35" t="inlineStr">
        <is>
          <t>يُسر عثمان البقمي</t>
        </is>
      </c>
      <c r="C92" s="36" t="inlineStr">
        <is>
          <t>1090012056</t>
        </is>
      </c>
      <c r="D92" s="37" t="inlineStr">
        <is>
          <t>ثالث/3</t>
        </is>
      </c>
      <c r="E92" s="36" t="inlineStr">
        <is>
          <t>أ. أمل العمري</t>
        </is>
      </c>
      <c r="F92" s="36" t="inlineStr">
        <is>
          <t>1446/08/15 هـ</t>
        </is>
      </c>
    </row>
    <row r="93" ht="20" customHeight="1">
      <c r="A93" s="30" t="n">
        <v>89</v>
      </c>
      <c r="B93" s="31" t="inlineStr">
        <is>
          <t>فيروز جمال الحميد</t>
        </is>
      </c>
      <c r="C93" s="32" t="inlineStr">
        <is>
          <t>1090012193</t>
        </is>
      </c>
      <c r="D93" s="33" t="inlineStr">
        <is>
          <t>ثالث/3</t>
        </is>
      </c>
      <c r="E93" s="32" t="inlineStr">
        <is>
          <t>أ. أمل العمري</t>
        </is>
      </c>
      <c r="F93" s="32" t="inlineStr">
        <is>
          <t>1446/08/15 هـ</t>
        </is>
      </c>
    </row>
    <row r="94" ht="20" customHeight="1">
      <c r="A94" s="34" t="n">
        <v>90</v>
      </c>
      <c r="B94" s="35" t="inlineStr">
        <is>
          <t>نجود سعيد الزيد</t>
        </is>
      </c>
      <c r="C94" s="36" t="inlineStr">
        <is>
          <t>1090012330</t>
        </is>
      </c>
      <c r="D94" s="37" t="inlineStr">
        <is>
          <t>ثالث/3</t>
        </is>
      </c>
      <c r="E94" s="36" t="inlineStr">
        <is>
          <t>أ. أمل العمري</t>
        </is>
      </c>
      <c r="F94" s="36" t="inlineStr">
        <is>
          <t>1446/08/15 هـ</t>
        </is>
      </c>
    </row>
    <row r="95" ht="20" customHeight="1">
      <c r="A95" s="30" t="n">
        <v>91</v>
      </c>
      <c r="B95" s="31" t="inlineStr">
        <is>
          <t>أروى حسام الحمود</t>
        </is>
      </c>
      <c r="C95" s="32" t="inlineStr">
        <is>
          <t>1090012467</t>
        </is>
      </c>
      <c r="D95" s="33" t="inlineStr">
        <is>
          <t>ثالث/3</t>
        </is>
      </c>
      <c r="E95" s="32" t="inlineStr">
        <is>
          <t>أ. أمل العمري</t>
        </is>
      </c>
      <c r="F95" s="32" t="inlineStr">
        <is>
          <t>1446/08/15 هـ</t>
        </is>
      </c>
    </row>
    <row r="96" ht="20" customHeight="1">
      <c r="A96" s="34" t="n">
        <v>92</v>
      </c>
      <c r="B96" s="35" t="inlineStr">
        <is>
          <t>أمينة فراس الصبحي</t>
        </is>
      </c>
      <c r="C96" s="36" t="inlineStr">
        <is>
          <t>1090012604</t>
        </is>
      </c>
      <c r="D96" s="37" t="inlineStr">
        <is>
          <t>ثالث/3</t>
        </is>
      </c>
      <c r="E96" s="36" t="inlineStr">
        <is>
          <t>أ. أمل العمري</t>
        </is>
      </c>
      <c r="F96" s="36" t="inlineStr">
        <is>
          <t>1446/08/15 هـ</t>
        </is>
      </c>
    </row>
    <row r="97" ht="20" customHeight="1">
      <c r="A97" s="30" t="n">
        <v>93</v>
      </c>
      <c r="B97" s="31" t="inlineStr">
        <is>
          <t>أريام عماد التميمي</t>
        </is>
      </c>
      <c r="C97" s="32" t="inlineStr">
        <is>
          <t>1090012741</t>
        </is>
      </c>
      <c r="D97" s="33" t="inlineStr">
        <is>
          <t>ثالث/3</t>
        </is>
      </c>
      <c r="E97" s="32" t="inlineStr">
        <is>
          <t>أ. أمل العمري</t>
        </is>
      </c>
      <c r="F97" s="32" t="inlineStr">
        <is>
          <t>1446/08/15 هـ</t>
        </is>
      </c>
    </row>
    <row r="98" ht="20" customHeight="1">
      <c r="A98" s="34" t="n">
        <v>94</v>
      </c>
      <c r="B98" s="35" t="inlineStr">
        <is>
          <t>لمى أيوب المطيري</t>
        </is>
      </c>
      <c r="C98" s="36" t="inlineStr">
        <is>
          <t>1090012878</t>
        </is>
      </c>
      <c r="D98" s="37" t="inlineStr">
        <is>
          <t>ثالث/3</t>
        </is>
      </c>
      <c r="E98" s="36" t="inlineStr">
        <is>
          <t>أ. أمل العمري</t>
        </is>
      </c>
      <c r="F98" s="36" t="inlineStr">
        <is>
          <t>1446/08/15 هـ</t>
        </is>
      </c>
    </row>
    <row r="99" ht="20" customHeight="1">
      <c r="A99" s="30" t="n">
        <v>95</v>
      </c>
      <c r="B99" s="31" t="inlineStr">
        <is>
          <t>قمر بلال السعود</t>
        </is>
      </c>
      <c r="C99" s="32" t="inlineStr">
        <is>
          <t>1090013015</t>
        </is>
      </c>
      <c r="D99" s="33" t="inlineStr">
        <is>
          <t>ثالث/3</t>
        </is>
      </c>
      <c r="E99" s="32" t="inlineStr">
        <is>
          <t>أ. أمل العمري</t>
        </is>
      </c>
      <c r="F99" s="32" t="inlineStr">
        <is>
          <t>1446/08/15 هـ</t>
        </is>
      </c>
    </row>
    <row r="100" ht="20" customHeight="1">
      <c r="A100" s="34" t="n">
        <v>96</v>
      </c>
      <c r="B100" s="35" t="inlineStr">
        <is>
          <t>بيان طارق الجلاجل</t>
        </is>
      </c>
      <c r="C100" s="36" t="inlineStr">
        <is>
          <t>1090013152</t>
        </is>
      </c>
      <c r="D100" s="37" t="inlineStr">
        <is>
          <t>ثالث/3</t>
        </is>
      </c>
      <c r="E100" s="36" t="inlineStr">
        <is>
          <t>أ. أمل العمري</t>
        </is>
      </c>
      <c r="F100" s="36" t="inlineStr">
        <is>
          <t>1446/08/15 هـ</t>
        </is>
      </c>
    </row>
    <row r="101" ht="20" customHeight="1">
      <c r="A101" s="30" t="n">
        <v>97</v>
      </c>
      <c r="B101" s="31" t="inlineStr">
        <is>
          <t>ياسمين رأفت الحميدي</t>
        </is>
      </c>
      <c r="C101" s="32" t="inlineStr">
        <is>
          <t>1090013289</t>
        </is>
      </c>
      <c r="D101" s="33" t="inlineStr">
        <is>
          <t>ثالث/3</t>
        </is>
      </c>
      <c r="E101" s="32" t="inlineStr">
        <is>
          <t>أ. أمل العمري</t>
        </is>
      </c>
      <c r="F101" s="32" t="inlineStr">
        <is>
          <t>1446/08/15 هـ</t>
        </is>
      </c>
    </row>
    <row r="102" ht="20" customHeight="1">
      <c r="A102" s="34" t="n">
        <v>98</v>
      </c>
      <c r="B102" s="35" t="inlineStr">
        <is>
          <t>مضاوي صالح العجلان</t>
        </is>
      </c>
      <c r="C102" s="36" t="inlineStr">
        <is>
          <t>1090013426</t>
        </is>
      </c>
      <c r="D102" s="37" t="inlineStr">
        <is>
          <t>ثالث/3</t>
        </is>
      </c>
      <c r="E102" s="36" t="inlineStr">
        <is>
          <t>أ. أمل العمري</t>
        </is>
      </c>
      <c r="F102" s="36" t="inlineStr">
        <is>
          <t>1446/08/15 هـ</t>
        </is>
      </c>
    </row>
    <row r="103" ht="20" customHeight="1">
      <c r="A103" s="30" t="n">
        <v>99</v>
      </c>
      <c r="B103" s="31" t="inlineStr">
        <is>
          <t>خلود فهيد الرويلي</t>
        </is>
      </c>
      <c r="C103" s="32" t="inlineStr">
        <is>
          <t>1090013563</t>
        </is>
      </c>
      <c r="D103" s="33" t="inlineStr">
        <is>
          <t>ثالث/3</t>
        </is>
      </c>
      <c r="E103" s="32" t="inlineStr">
        <is>
          <t>أ. أمل العمري</t>
        </is>
      </c>
      <c r="F103" s="32" t="inlineStr">
        <is>
          <t>1446/08/15 هـ</t>
        </is>
      </c>
    </row>
  </sheetData>
  <mergeCells count="2">
    <mergeCell ref="A3:F3"/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3946"/>
    <outlinePr summaryBelow="1" summaryRight="1"/>
    <pageSetUpPr/>
  </sheetPr>
  <dimension ref="A2:O133"/>
  <sheetViews>
    <sheetView rightToLeft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10" customHeight="1"/>
    <row r="2" ht="55" customHeight="1">
      <c r="A2" s="27" t="inlineStr">
        <is>
          <t>الاختبار التشخيصي القبلي – Pre-Test</t>
        </is>
      </c>
    </row>
    <row r="3" ht="30" customHeight="1">
      <c r="A3" s="28" t="inlineStr">
        <is>
          <t>إدخال درجات مهارات نافس العشر | التحليل الفوري تلقائي</t>
        </is>
      </c>
    </row>
    <row r="4" ht="46" customHeight="1">
      <c r="A4" s="38" t="inlineStr">
        <is>
          <t>م</t>
        </is>
      </c>
      <c r="B4" s="38" t="inlineStr">
        <is>
          <t>اسم الطالبة</t>
        </is>
      </c>
      <c r="C4" s="39">
        <f>"م1 " &amp; CHAR(10) &amp; 'الواجهة الرئيسية'!B8</f>
        <v/>
      </c>
      <c r="D4" s="39">
        <f>"م2 " &amp; CHAR(10) &amp; 'الواجهة الرئيسية'!D8</f>
        <v/>
      </c>
      <c r="E4" s="39">
        <f>"م3 " &amp; CHAR(10) &amp; 'الواجهة الرئيسية'!F8</f>
        <v/>
      </c>
      <c r="F4" s="39">
        <f>"م4 " &amp; CHAR(10) &amp; 'الواجهة الرئيسية'!H8</f>
        <v/>
      </c>
      <c r="G4" s="39">
        <f>"م5 " &amp; CHAR(10) &amp; 'الواجهة الرئيسية'!J8</f>
        <v/>
      </c>
      <c r="H4" s="39">
        <f>"م6 " &amp; CHAR(10) &amp; 'الواجهة الرئيسية'!B20</f>
        <v/>
      </c>
      <c r="I4" s="39">
        <f>"م7 " &amp; CHAR(10) &amp; 'الواجهة الرئيسية'!D20</f>
        <v/>
      </c>
      <c r="J4" s="39">
        <f>"م8 " &amp; CHAR(10) &amp; 'الواجهة الرئيسية'!F20</f>
        <v/>
      </c>
      <c r="K4" s="39">
        <f>"م9 " &amp; CHAR(10) &amp; 'الواجهة الرئيسية'!H20</f>
        <v/>
      </c>
      <c r="L4" s="39">
        <f>"م10 " &amp; CHAR(10) &amp; 'الواجهة الرئيسية'!J20</f>
        <v/>
      </c>
      <c r="M4" s="38" t="inlineStr">
        <is>
          <t>المجموع</t>
        </is>
      </c>
      <c r="N4" s="38" t="inlineStr">
        <is>
          <t>النسبة%</t>
        </is>
      </c>
      <c r="O4" s="38" t="inlineStr">
        <is>
          <t>المستوى</t>
        </is>
      </c>
    </row>
    <row r="5" ht="22" customHeight="1">
      <c r="A5" s="40" t="inlineStr"/>
      <c r="B5" s="41" t="inlineStr">
        <is>
          <t>الدرجة العظمى</t>
        </is>
      </c>
      <c r="C5" s="42" t="n">
        <v>10</v>
      </c>
      <c r="D5" s="42" t="n">
        <v>10</v>
      </c>
      <c r="E5" s="42" t="n">
        <v>10</v>
      </c>
      <c r="F5" s="42" t="n">
        <v>10</v>
      </c>
      <c r="G5" s="42" t="n">
        <v>10</v>
      </c>
      <c r="H5" s="42" t="n">
        <v>10</v>
      </c>
      <c r="I5" s="42" t="n">
        <v>10</v>
      </c>
      <c r="J5" s="42" t="n">
        <v>10</v>
      </c>
      <c r="K5" s="42" t="n">
        <v>10</v>
      </c>
      <c r="L5" s="42" t="n">
        <v>10</v>
      </c>
      <c r="M5" s="42" t="n">
        <v>100</v>
      </c>
      <c r="N5" s="42" t="inlineStr">
        <is>
          <t>100%</t>
        </is>
      </c>
      <c r="O5" s="40" t="inlineStr"/>
    </row>
    <row r="6" ht="18" customHeight="1">
      <c r="A6" s="30" t="n">
        <v>1</v>
      </c>
      <c r="B6" s="31">
        <f>'قاعدة الأسماء'!B5</f>
        <v/>
      </c>
      <c r="C6" s="32" t="n">
        <v>8</v>
      </c>
      <c r="D6" s="32" t="n">
        <v>8</v>
      </c>
      <c r="E6" s="32" t="n">
        <v>8</v>
      </c>
      <c r="F6" s="32" t="n">
        <v>7</v>
      </c>
      <c r="G6" s="32" t="n">
        <v>9</v>
      </c>
      <c r="H6" s="32" t="n">
        <v>8</v>
      </c>
      <c r="I6" s="32" t="n">
        <v>9</v>
      </c>
      <c r="J6" s="32" t="n">
        <v>8</v>
      </c>
      <c r="K6" s="32" t="n">
        <v>9</v>
      </c>
      <c r="L6" s="32" t="n">
        <v>8</v>
      </c>
      <c r="M6" s="43">
        <f>IF(COUNT(C6:L6)=0,"",SUM(C6:L6))</f>
        <v/>
      </c>
      <c r="N6" s="44">
        <f>IF(M6="","",M6/100)</f>
        <v/>
      </c>
      <c r="O6" s="45">
        <f>IF(M6="","",IF(M6&lt;50,"ضعيف",IF(M6&lt;75,"متوسط","ممتاز")))</f>
        <v/>
      </c>
    </row>
    <row r="7" ht="18" customHeight="1">
      <c r="A7" s="46" t="n">
        <v>2</v>
      </c>
      <c r="B7" s="47">
        <f>'قاعدة الأسماء'!B6</f>
        <v/>
      </c>
      <c r="C7" s="48" t="n">
        <v>8</v>
      </c>
      <c r="D7" s="48" t="n">
        <v>9</v>
      </c>
      <c r="E7" s="48" t="n">
        <v>7</v>
      </c>
      <c r="F7" s="48" t="n">
        <v>8</v>
      </c>
      <c r="G7" s="48" t="n">
        <v>9</v>
      </c>
      <c r="H7" s="48" t="n">
        <v>7</v>
      </c>
      <c r="I7" s="48" t="n">
        <v>8</v>
      </c>
      <c r="J7" s="48" t="n">
        <v>7</v>
      </c>
      <c r="K7" s="48" t="n">
        <v>7</v>
      </c>
      <c r="L7" s="48" t="n">
        <v>8</v>
      </c>
      <c r="M7" s="49">
        <f>IF(COUNT(C7:L7)=0,"",SUM(C7:L7))</f>
        <v/>
      </c>
      <c r="N7" s="50">
        <f>IF(M7="","",M7/100)</f>
        <v/>
      </c>
      <c r="O7" s="51">
        <f>IF(M7="","",IF(M7&lt;50,"ضعيف",IF(M7&lt;75,"متوسط","ممتاز")))</f>
        <v/>
      </c>
    </row>
    <row r="8" ht="18" customHeight="1">
      <c r="A8" s="30" t="n">
        <v>3</v>
      </c>
      <c r="B8" s="31">
        <f>'قاعدة الأسماء'!B7</f>
        <v/>
      </c>
      <c r="C8" s="32" t="n">
        <v>10</v>
      </c>
      <c r="D8" s="32" t="n">
        <v>9</v>
      </c>
      <c r="E8" s="32" t="n">
        <v>9</v>
      </c>
      <c r="F8" s="32" t="n">
        <v>8</v>
      </c>
      <c r="G8" s="32" t="n">
        <v>8</v>
      </c>
      <c r="H8" s="32" t="n">
        <v>8</v>
      </c>
      <c r="I8" s="32" t="n">
        <v>10</v>
      </c>
      <c r="J8" s="32" t="n">
        <v>8</v>
      </c>
      <c r="K8" s="32" t="n">
        <v>9</v>
      </c>
      <c r="L8" s="32" t="n">
        <v>9</v>
      </c>
      <c r="M8" s="43">
        <f>IF(COUNT(C8:L8)=0,"",SUM(C8:L8))</f>
        <v/>
      </c>
      <c r="N8" s="44">
        <f>IF(M8="","",M8/100)</f>
        <v/>
      </c>
      <c r="O8" s="45">
        <f>IF(M8="","",IF(M8&lt;50,"ضعيف",IF(M8&lt;75,"متوسط","ممتاز")))</f>
        <v/>
      </c>
    </row>
    <row r="9" ht="18" customHeight="1">
      <c r="A9" s="46" t="n">
        <v>4</v>
      </c>
      <c r="B9" s="47">
        <f>'قاعدة الأسماء'!B8</f>
        <v/>
      </c>
      <c r="C9" s="48" t="n">
        <v>10</v>
      </c>
      <c r="D9" s="48" t="n">
        <v>9</v>
      </c>
      <c r="E9" s="48" t="n">
        <v>8</v>
      </c>
      <c r="F9" s="48" t="n">
        <v>7</v>
      </c>
      <c r="G9" s="48" t="n">
        <v>9</v>
      </c>
      <c r="H9" s="48" t="n">
        <v>9</v>
      </c>
      <c r="I9" s="48" t="n">
        <v>10</v>
      </c>
      <c r="J9" s="48" t="n">
        <v>8</v>
      </c>
      <c r="K9" s="48" t="n">
        <v>8</v>
      </c>
      <c r="L9" s="48" t="n">
        <v>8</v>
      </c>
      <c r="M9" s="49">
        <f>IF(COUNT(C9:L9)=0,"",SUM(C9:L9))</f>
        <v/>
      </c>
      <c r="N9" s="50">
        <f>IF(M9="","",M9/100)</f>
        <v/>
      </c>
      <c r="O9" s="51">
        <f>IF(M9="","",IF(M9&lt;50,"ضعيف",IF(M9&lt;75,"متوسط","ممتاز")))</f>
        <v/>
      </c>
    </row>
    <row r="10" ht="18" customHeight="1">
      <c r="A10" s="30" t="n">
        <v>5</v>
      </c>
      <c r="B10" s="31">
        <f>'قاعدة الأسماء'!B9</f>
        <v/>
      </c>
      <c r="C10" s="32" t="n">
        <v>9</v>
      </c>
      <c r="D10" s="32" t="n">
        <v>9</v>
      </c>
      <c r="E10" s="32" t="n">
        <v>8</v>
      </c>
      <c r="F10" s="32" t="n">
        <v>8</v>
      </c>
      <c r="G10" s="32" t="n">
        <v>9</v>
      </c>
      <c r="H10" s="32" t="n">
        <v>8</v>
      </c>
      <c r="I10" s="32" t="n">
        <v>8</v>
      </c>
      <c r="J10" s="32" t="n">
        <v>9</v>
      </c>
      <c r="K10" s="32" t="n">
        <v>8</v>
      </c>
      <c r="L10" s="32" t="n">
        <v>8</v>
      </c>
      <c r="M10" s="43">
        <f>IF(COUNT(C10:L10)=0,"",SUM(C10:L10))</f>
        <v/>
      </c>
      <c r="N10" s="44">
        <f>IF(M10="","",M10/100)</f>
        <v/>
      </c>
      <c r="O10" s="45">
        <f>IF(M10="","",IF(M10&lt;50,"ضعيف",IF(M10&lt;75,"متوسط","ممتاز")))</f>
        <v/>
      </c>
    </row>
    <row r="11" ht="18" customHeight="1">
      <c r="A11" s="46" t="n">
        <v>6</v>
      </c>
      <c r="B11" s="47">
        <f>'قاعدة الأسماء'!B10</f>
        <v/>
      </c>
      <c r="C11" s="48" t="n">
        <v>9</v>
      </c>
      <c r="D11" s="48" t="n">
        <v>9</v>
      </c>
      <c r="E11" s="48" t="n">
        <v>7</v>
      </c>
      <c r="F11" s="48" t="n">
        <v>8</v>
      </c>
      <c r="G11" s="48" t="n">
        <v>8</v>
      </c>
      <c r="H11" s="48" t="n">
        <v>8</v>
      </c>
      <c r="I11" s="48" t="n">
        <v>9</v>
      </c>
      <c r="J11" s="48" t="n">
        <v>9</v>
      </c>
      <c r="K11" s="48" t="n">
        <v>8</v>
      </c>
      <c r="L11" s="48" t="n">
        <v>9</v>
      </c>
      <c r="M11" s="49">
        <f>IF(COUNT(C11:L11)=0,"",SUM(C11:L11))</f>
        <v/>
      </c>
      <c r="N11" s="50">
        <f>IF(M11="","",M11/100)</f>
        <v/>
      </c>
      <c r="O11" s="51">
        <f>IF(M11="","",IF(M11&lt;50,"ضعيف",IF(M11&lt;75,"متوسط","ممتاز")))</f>
        <v/>
      </c>
    </row>
    <row r="12" ht="18" customHeight="1">
      <c r="A12" s="30" t="n">
        <v>7</v>
      </c>
      <c r="B12" s="31">
        <f>'قاعدة الأسماء'!B11</f>
        <v/>
      </c>
      <c r="C12" s="32" t="n">
        <v>8</v>
      </c>
      <c r="D12" s="32" t="n">
        <v>8</v>
      </c>
      <c r="E12" s="32" t="n">
        <v>7</v>
      </c>
      <c r="F12" s="32" t="n">
        <v>7</v>
      </c>
      <c r="G12" s="32" t="n">
        <v>8</v>
      </c>
      <c r="H12" s="32" t="n">
        <v>7</v>
      </c>
      <c r="I12" s="32" t="n">
        <v>8</v>
      </c>
      <c r="J12" s="32" t="n">
        <v>8</v>
      </c>
      <c r="K12" s="32" t="n">
        <v>7</v>
      </c>
      <c r="L12" s="32" t="n">
        <v>8</v>
      </c>
      <c r="M12" s="43">
        <f>IF(COUNT(C12:L12)=0,"",SUM(C12:L12))</f>
        <v/>
      </c>
      <c r="N12" s="44">
        <f>IF(M12="","",M12/100)</f>
        <v/>
      </c>
      <c r="O12" s="45">
        <f>IF(M12="","",IF(M12&lt;50,"ضعيف",IF(M12&lt;75,"متوسط","ممتاز")))</f>
        <v/>
      </c>
    </row>
    <row r="13" ht="18" customHeight="1">
      <c r="A13" s="46" t="n">
        <v>8</v>
      </c>
      <c r="B13" s="47">
        <f>'قاعدة الأسماء'!B12</f>
        <v/>
      </c>
      <c r="C13" s="48" t="n">
        <v>8</v>
      </c>
      <c r="D13" s="48" t="n">
        <v>8</v>
      </c>
      <c r="E13" s="48" t="n">
        <v>7</v>
      </c>
      <c r="F13" s="48" t="n">
        <v>7</v>
      </c>
      <c r="G13" s="48" t="n">
        <v>9</v>
      </c>
      <c r="H13" s="48" t="n">
        <v>8</v>
      </c>
      <c r="I13" s="48" t="n">
        <v>8</v>
      </c>
      <c r="J13" s="48" t="n">
        <v>8</v>
      </c>
      <c r="K13" s="48" t="n">
        <v>9</v>
      </c>
      <c r="L13" s="48" t="n">
        <v>8</v>
      </c>
      <c r="M13" s="49">
        <f>IF(COUNT(C13:L13)=0,"",SUM(C13:L13))</f>
        <v/>
      </c>
      <c r="N13" s="50">
        <f>IF(M13="","",M13/100)</f>
        <v/>
      </c>
      <c r="O13" s="51">
        <f>IF(M13="","",IF(M13&lt;50,"ضعيف",IF(M13&lt;75,"متوسط","ممتاز")))</f>
        <v/>
      </c>
    </row>
    <row r="14" ht="18" customHeight="1">
      <c r="A14" s="30" t="n">
        <v>9</v>
      </c>
      <c r="B14" s="31">
        <f>'قاعدة الأسماء'!B13</f>
        <v/>
      </c>
      <c r="C14" s="32" t="n">
        <v>9</v>
      </c>
      <c r="D14" s="32" t="n">
        <v>8</v>
      </c>
      <c r="E14" s="32" t="n">
        <v>7</v>
      </c>
      <c r="F14" s="32" t="n">
        <v>7</v>
      </c>
      <c r="G14" s="32" t="n">
        <v>9</v>
      </c>
      <c r="H14" s="32" t="n">
        <v>9</v>
      </c>
      <c r="I14" s="32" t="n">
        <v>9</v>
      </c>
      <c r="J14" s="32" t="n">
        <v>7</v>
      </c>
      <c r="K14" s="32" t="n">
        <v>8</v>
      </c>
      <c r="L14" s="32" t="n">
        <v>8</v>
      </c>
      <c r="M14" s="43">
        <f>IF(COUNT(C14:L14)=0,"",SUM(C14:L14))</f>
        <v/>
      </c>
      <c r="N14" s="44">
        <f>IF(M14="","",M14/100)</f>
        <v/>
      </c>
      <c r="O14" s="45">
        <f>IF(M14="","",IF(M14&lt;50,"ضعيف",IF(M14&lt;75,"متوسط","ممتاز")))</f>
        <v/>
      </c>
    </row>
    <row r="15" ht="18" customHeight="1">
      <c r="A15" s="46" t="n">
        <v>10</v>
      </c>
      <c r="B15" s="47">
        <f>'قاعدة الأسماء'!B14</f>
        <v/>
      </c>
      <c r="C15" s="48" t="n">
        <v>9</v>
      </c>
      <c r="D15" s="48" t="n">
        <v>7</v>
      </c>
      <c r="E15" s="48" t="n">
        <v>7</v>
      </c>
      <c r="F15" s="48" t="n">
        <v>8</v>
      </c>
      <c r="G15" s="48" t="n">
        <v>8</v>
      </c>
      <c r="H15" s="48" t="n">
        <v>8</v>
      </c>
      <c r="I15" s="48" t="n">
        <v>9</v>
      </c>
      <c r="J15" s="48" t="n">
        <v>7</v>
      </c>
      <c r="K15" s="48" t="n">
        <v>8</v>
      </c>
      <c r="L15" s="48" t="n">
        <v>9</v>
      </c>
      <c r="M15" s="49">
        <f>IF(COUNT(C15:L15)=0,"",SUM(C15:L15))</f>
        <v/>
      </c>
      <c r="N15" s="50">
        <f>IF(M15="","",M15/100)</f>
        <v/>
      </c>
      <c r="O15" s="51">
        <f>IF(M15="","",IF(M15&lt;50,"ضعيف",IF(M15&lt;75,"متوسط","ممتاز")))</f>
        <v/>
      </c>
    </row>
    <row r="16" ht="18" customHeight="1">
      <c r="A16" s="30" t="n">
        <v>11</v>
      </c>
      <c r="B16" s="31">
        <f>'قاعدة الأسماء'!B15</f>
        <v/>
      </c>
      <c r="C16" s="32" t="n">
        <v>9</v>
      </c>
      <c r="D16" s="32" t="n">
        <v>9</v>
      </c>
      <c r="E16" s="32" t="n">
        <v>7</v>
      </c>
      <c r="F16" s="32" t="n">
        <v>7</v>
      </c>
      <c r="G16" s="32" t="n">
        <v>8</v>
      </c>
      <c r="H16" s="32" t="n">
        <v>8</v>
      </c>
      <c r="I16" s="32" t="n">
        <v>9</v>
      </c>
      <c r="J16" s="32" t="n">
        <v>8</v>
      </c>
      <c r="K16" s="32" t="n">
        <v>9</v>
      </c>
      <c r="L16" s="32" t="n">
        <v>9</v>
      </c>
      <c r="M16" s="43">
        <f>IF(COUNT(C16:L16)=0,"",SUM(C16:L16))</f>
        <v/>
      </c>
      <c r="N16" s="44">
        <f>IF(M16="","",M16/100)</f>
        <v/>
      </c>
      <c r="O16" s="45">
        <f>IF(M16="","",IF(M16&lt;50,"ضعيف",IF(M16&lt;75,"متوسط","ممتاز")))</f>
        <v/>
      </c>
    </row>
    <row r="17" ht="18" customHeight="1">
      <c r="A17" s="46" t="n">
        <v>12</v>
      </c>
      <c r="B17" s="47">
        <f>'قاعدة الأسماء'!B16</f>
        <v/>
      </c>
      <c r="C17" s="48" t="n">
        <v>9</v>
      </c>
      <c r="D17" s="48" t="n">
        <v>9</v>
      </c>
      <c r="E17" s="48" t="n">
        <v>8</v>
      </c>
      <c r="F17" s="48" t="n">
        <v>9</v>
      </c>
      <c r="G17" s="48" t="n">
        <v>9</v>
      </c>
      <c r="H17" s="48" t="n">
        <v>9</v>
      </c>
      <c r="I17" s="48" t="n">
        <v>8</v>
      </c>
      <c r="J17" s="48" t="n">
        <v>9</v>
      </c>
      <c r="K17" s="48" t="n">
        <v>9</v>
      </c>
      <c r="L17" s="48" t="n">
        <v>9</v>
      </c>
      <c r="M17" s="49">
        <f>IF(COUNT(C17:L17)=0,"",SUM(C17:L17))</f>
        <v/>
      </c>
      <c r="N17" s="50">
        <f>IF(M17="","",M17/100)</f>
        <v/>
      </c>
      <c r="O17" s="51">
        <f>IF(M17="","",IF(M17&lt;50,"ضعيف",IF(M17&lt;75,"متوسط","ممتاز")))</f>
        <v/>
      </c>
    </row>
    <row r="18" ht="18" customHeight="1">
      <c r="A18" s="30" t="n">
        <v>13</v>
      </c>
      <c r="B18" s="31">
        <f>'قاعدة الأسماء'!B17</f>
        <v/>
      </c>
      <c r="C18" s="32" t="n">
        <v>8</v>
      </c>
      <c r="D18" s="32" t="n">
        <v>8</v>
      </c>
      <c r="E18" s="32" t="n">
        <v>7</v>
      </c>
      <c r="F18" s="32" t="n">
        <v>8</v>
      </c>
      <c r="G18" s="32" t="n">
        <v>9</v>
      </c>
      <c r="H18" s="32" t="n">
        <v>9</v>
      </c>
      <c r="I18" s="32" t="n">
        <v>9</v>
      </c>
      <c r="J18" s="32" t="n">
        <v>8</v>
      </c>
      <c r="K18" s="32" t="n">
        <v>9</v>
      </c>
      <c r="L18" s="32" t="n">
        <v>8</v>
      </c>
      <c r="M18" s="43">
        <f>IF(COUNT(C18:L18)=0,"",SUM(C18:L18))</f>
        <v/>
      </c>
      <c r="N18" s="44">
        <f>IF(M18="","",M18/100)</f>
        <v/>
      </c>
      <c r="O18" s="45">
        <f>IF(M18="","",IF(M18&lt;50,"ضعيف",IF(M18&lt;75,"متوسط","ممتاز")))</f>
        <v/>
      </c>
    </row>
    <row r="19" ht="18" customHeight="1">
      <c r="A19" s="46" t="n">
        <v>14</v>
      </c>
      <c r="B19" s="47">
        <f>'قاعدة الأسماء'!B18</f>
        <v/>
      </c>
      <c r="C19" s="48" t="n">
        <v>9</v>
      </c>
      <c r="D19" s="48" t="n">
        <v>8</v>
      </c>
      <c r="E19" s="48" t="n">
        <v>7</v>
      </c>
      <c r="F19" s="48" t="n">
        <v>8</v>
      </c>
      <c r="G19" s="48" t="n">
        <v>9</v>
      </c>
      <c r="H19" s="48" t="n">
        <v>8</v>
      </c>
      <c r="I19" s="48" t="n">
        <v>8</v>
      </c>
      <c r="J19" s="48" t="n">
        <v>7</v>
      </c>
      <c r="K19" s="48" t="n">
        <v>8</v>
      </c>
      <c r="L19" s="48" t="n">
        <v>7</v>
      </c>
      <c r="M19" s="49">
        <f>IF(COUNT(C19:L19)=0,"",SUM(C19:L19))</f>
        <v/>
      </c>
      <c r="N19" s="50">
        <f>IF(M19="","",M19/100)</f>
        <v/>
      </c>
      <c r="O19" s="51">
        <f>IF(M19="","",IF(M19&lt;50,"ضعيف",IF(M19&lt;75,"متوسط","ممتاز")))</f>
        <v/>
      </c>
    </row>
    <row r="20" ht="18" customHeight="1">
      <c r="A20" s="30" t="n">
        <v>15</v>
      </c>
      <c r="B20" s="31">
        <f>'قاعدة الأسماء'!B19</f>
        <v/>
      </c>
      <c r="C20" s="32" t="n">
        <v>8</v>
      </c>
      <c r="D20" s="32" t="n">
        <v>8</v>
      </c>
      <c r="E20" s="32" t="n">
        <v>7</v>
      </c>
      <c r="F20" s="32" t="n">
        <v>8</v>
      </c>
      <c r="G20" s="32" t="n">
        <v>9</v>
      </c>
      <c r="H20" s="32" t="n">
        <v>8</v>
      </c>
      <c r="I20" s="32" t="n">
        <v>8</v>
      </c>
      <c r="J20" s="32" t="n">
        <v>8</v>
      </c>
      <c r="K20" s="32" t="n">
        <v>8</v>
      </c>
      <c r="L20" s="32" t="n">
        <v>8</v>
      </c>
      <c r="M20" s="43">
        <f>IF(COUNT(C20:L20)=0,"",SUM(C20:L20))</f>
        <v/>
      </c>
      <c r="N20" s="44">
        <f>IF(M20="","",M20/100)</f>
        <v/>
      </c>
      <c r="O20" s="45">
        <f>IF(M20="","",IF(M20&lt;50,"ضعيف",IF(M20&lt;75,"متوسط","ممتاز")))</f>
        <v/>
      </c>
    </row>
    <row r="21" ht="18" customHeight="1">
      <c r="A21" s="46" t="n">
        <v>16</v>
      </c>
      <c r="B21" s="47">
        <f>'قاعدة الأسماء'!B20</f>
        <v/>
      </c>
      <c r="C21" s="48" t="n">
        <v>9</v>
      </c>
      <c r="D21" s="48" t="n">
        <v>8</v>
      </c>
      <c r="E21" s="48" t="n">
        <v>8</v>
      </c>
      <c r="F21" s="48" t="n">
        <v>7</v>
      </c>
      <c r="G21" s="48" t="n">
        <v>9</v>
      </c>
      <c r="H21" s="48" t="n">
        <v>8</v>
      </c>
      <c r="I21" s="48" t="n">
        <v>8</v>
      </c>
      <c r="J21" s="48" t="n">
        <v>9</v>
      </c>
      <c r="K21" s="48" t="n">
        <v>9</v>
      </c>
      <c r="L21" s="48" t="n">
        <v>8</v>
      </c>
      <c r="M21" s="49">
        <f>IF(COUNT(C21:L21)=0,"",SUM(C21:L21))</f>
        <v/>
      </c>
      <c r="N21" s="50">
        <f>IF(M21="","",M21/100)</f>
        <v/>
      </c>
      <c r="O21" s="51">
        <f>IF(M21="","",IF(M21&lt;50,"ضعيف",IF(M21&lt;75,"متوسط","ممتاز")))</f>
        <v/>
      </c>
    </row>
    <row r="22" ht="18" customHeight="1">
      <c r="A22" s="30" t="n">
        <v>17</v>
      </c>
      <c r="B22" s="31">
        <f>'قاعدة الأسماء'!B21</f>
        <v/>
      </c>
      <c r="C22" s="32" t="n">
        <v>9</v>
      </c>
      <c r="D22" s="32" t="n">
        <v>9</v>
      </c>
      <c r="E22" s="32" t="n">
        <v>7</v>
      </c>
      <c r="F22" s="32" t="n">
        <v>8</v>
      </c>
      <c r="G22" s="32" t="n">
        <v>9</v>
      </c>
      <c r="H22" s="32" t="n">
        <v>8</v>
      </c>
      <c r="I22" s="32" t="n">
        <v>10</v>
      </c>
      <c r="J22" s="32" t="n">
        <v>8</v>
      </c>
      <c r="K22" s="32" t="n">
        <v>9</v>
      </c>
      <c r="L22" s="32" t="n">
        <v>9</v>
      </c>
      <c r="M22" s="43">
        <f>IF(COUNT(C22:L22)=0,"",SUM(C22:L22))</f>
        <v/>
      </c>
      <c r="N22" s="44">
        <f>IF(M22="","",M22/100)</f>
        <v/>
      </c>
      <c r="O22" s="45">
        <f>IF(M22="","",IF(M22&lt;50,"ضعيف",IF(M22&lt;75,"متوسط","ممتاز")))</f>
        <v/>
      </c>
    </row>
    <row r="23" ht="18" customHeight="1">
      <c r="A23" s="46" t="n">
        <v>18</v>
      </c>
      <c r="B23" s="47">
        <f>'قاعدة الأسماء'!B22</f>
        <v/>
      </c>
      <c r="C23" s="48" t="n">
        <v>8</v>
      </c>
      <c r="D23" s="48" t="n">
        <v>8</v>
      </c>
      <c r="E23" s="48" t="n">
        <v>7</v>
      </c>
      <c r="F23" s="48" t="n">
        <v>7</v>
      </c>
      <c r="G23" s="48" t="n">
        <v>8</v>
      </c>
      <c r="H23" s="48" t="n">
        <v>7</v>
      </c>
      <c r="I23" s="48" t="n">
        <v>9</v>
      </c>
      <c r="J23" s="48" t="n">
        <v>8</v>
      </c>
      <c r="K23" s="48" t="n">
        <v>7</v>
      </c>
      <c r="L23" s="48" t="n">
        <v>7</v>
      </c>
      <c r="M23" s="49">
        <f>IF(COUNT(C23:L23)=0,"",SUM(C23:L23))</f>
        <v/>
      </c>
      <c r="N23" s="50">
        <f>IF(M23="","",M23/100)</f>
        <v/>
      </c>
      <c r="O23" s="51">
        <f>IF(M23="","",IF(M23&lt;50,"ضعيف",IF(M23&lt;75,"متوسط","ممتاز")))</f>
        <v/>
      </c>
    </row>
    <row r="24" ht="18" customHeight="1">
      <c r="A24" s="30" t="n">
        <v>19</v>
      </c>
      <c r="B24" s="31">
        <f>'قاعدة الأسماء'!B23</f>
        <v/>
      </c>
      <c r="C24" s="32" t="n">
        <v>9</v>
      </c>
      <c r="D24" s="32" t="n">
        <v>9</v>
      </c>
      <c r="E24" s="32" t="n">
        <v>8</v>
      </c>
      <c r="F24" s="32" t="n">
        <v>9</v>
      </c>
      <c r="G24" s="32" t="n">
        <v>10</v>
      </c>
      <c r="H24" s="32" t="n">
        <v>9</v>
      </c>
      <c r="I24" s="32" t="n">
        <v>10</v>
      </c>
      <c r="J24" s="32" t="n">
        <v>8</v>
      </c>
      <c r="K24" s="32" t="n">
        <v>9</v>
      </c>
      <c r="L24" s="32" t="n">
        <v>9</v>
      </c>
      <c r="M24" s="43">
        <f>IF(COUNT(C24:L24)=0,"",SUM(C24:L24))</f>
        <v/>
      </c>
      <c r="N24" s="44">
        <f>IF(M24="","",M24/100)</f>
        <v/>
      </c>
      <c r="O24" s="45">
        <f>IF(M24="","",IF(M24&lt;50,"ضعيف",IF(M24&lt;75,"متوسط","ممتاز")))</f>
        <v/>
      </c>
    </row>
    <row r="25" ht="18" customHeight="1">
      <c r="A25" s="46" t="n">
        <v>20</v>
      </c>
      <c r="B25" s="47">
        <f>'قاعدة الأسماء'!B24</f>
        <v/>
      </c>
      <c r="C25" s="48" t="n">
        <v>9</v>
      </c>
      <c r="D25" s="48" t="n">
        <v>9</v>
      </c>
      <c r="E25" s="48" t="n">
        <v>8</v>
      </c>
      <c r="F25" s="48" t="n">
        <v>8</v>
      </c>
      <c r="G25" s="48" t="n">
        <v>9</v>
      </c>
      <c r="H25" s="48" t="n">
        <v>8</v>
      </c>
      <c r="I25" s="48" t="n">
        <v>9</v>
      </c>
      <c r="J25" s="48" t="n">
        <v>9</v>
      </c>
      <c r="K25" s="48" t="n">
        <v>9</v>
      </c>
      <c r="L25" s="48" t="n">
        <v>8</v>
      </c>
      <c r="M25" s="49">
        <f>IF(COUNT(C25:L25)=0,"",SUM(C25:L25))</f>
        <v/>
      </c>
      <c r="N25" s="50">
        <f>IF(M25="","",M25/100)</f>
        <v/>
      </c>
      <c r="O25" s="51">
        <f>IF(M25="","",IF(M25&lt;50,"ضعيف",IF(M25&lt;75,"متوسط","ممتاز")))</f>
        <v/>
      </c>
    </row>
    <row r="26" ht="18" customHeight="1">
      <c r="A26" s="30" t="n">
        <v>21</v>
      </c>
      <c r="B26" s="31">
        <f>'قاعدة الأسماء'!B25</f>
        <v/>
      </c>
      <c r="C26" s="32" t="n">
        <v>7</v>
      </c>
      <c r="D26" s="32" t="n">
        <v>7</v>
      </c>
      <c r="E26" s="32" t="n">
        <v>7</v>
      </c>
      <c r="F26" s="32" t="n">
        <v>6</v>
      </c>
      <c r="G26" s="32" t="n">
        <v>6</v>
      </c>
      <c r="H26" s="32" t="n">
        <v>6</v>
      </c>
      <c r="I26" s="32" t="n">
        <v>7</v>
      </c>
      <c r="J26" s="32" t="n">
        <v>6</v>
      </c>
      <c r="K26" s="32" t="n">
        <v>6</v>
      </c>
      <c r="L26" s="32" t="n">
        <v>7</v>
      </c>
      <c r="M26" s="43">
        <f>IF(COUNT(C26:L26)=0,"",SUM(C26:L26))</f>
        <v/>
      </c>
      <c r="N26" s="44">
        <f>IF(M26="","",M26/100)</f>
        <v/>
      </c>
      <c r="O26" s="45">
        <f>IF(M26="","",IF(M26&lt;50,"ضعيف",IF(M26&lt;75,"متوسط","ممتاز")))</f>
        <v/>
      </c>
    </row>
    <row r="27" ht="18" customHeight="1">
      <c r="A27" s="46" t="n">
        <v>22</v>
      </c>
      <c r="B27" s="47">
        <f>'قاعدة الأسماء'!B26</f>
        <v/>
      </c>
      <c r="C27" s="48" t="n">
        <v>7</v>
      </c>
      <c r="D27" s="48" t="n">
        <v>6</v>
      </c>
      <c r="E27" s="48" t="n">
        <v>6</v>
      </c>
      <c r="F27" s="48" t="n">
        <v>5</v>
      </c>
      <c r="G27" s="48" t="n">
        <v>6</v>
      </c>
      <c r="H27" s="48" t="n">
        <v>6</v>
      </c>
      <c r="I27" s="48" t="n">
        <v>5</v>
      </c>
      <c r="J27" s="48" t="n">
        <v>6</v>
      </c>
      <c r="K27" s="48" t="n">
        <v>7</v>
      </c>
      <c r="L27" s="48" t="n">
        <v>6</v>
      </c>
      <c r="M27" s="49">
        <f>IF(COUNT(C27:L27)=0,"",SUM(C27:L27))</f>
        <v/>
      </c>
      <c r="N27" s="50">
        <f>IF(M27="","",M27/100)</f>
        <v/>
      </c>
      <c r="O27" s="51">
        <f>IF(M27="","",IF(M27&lt;50,"ضعيف",IF(M27&lt;75,"متوسط","ممتاز")))</f>
        <v/>
      </c>
    </row>
    <row r="28" ht="18" customHeight="1">
      <c r="A28" s="30" t="n">
        <v>23</v>
      </c>
      <c r="B28" s="31">
        <f>'قاعدة الأسماء'!B27</f>
        <v/>
      </c>
      <c r="C28" s="32" t="n">
        <v>7</v>
      </c>
      <c r="D28" s="32" t="n">
        <v>6</v>
      </c>
      <c r="E28" s="32" t="n">
        <v>6</v>
      </c>
      <c r="F28" s="32" t="n">
        <v>6</v>
      </c>
      <c r="G28" s="32" t="n">
        <v>7</v>
      </c>
      <c r="H28" s="32" t="n">
        <v>6</v>
      </c>
      <c r="I28" s="32" t="n">
        <v>6</v>
      </c>
      <c r="J28" s="32" t="n">
        <v>5</v>
      </c>
      <c r="K28" s="32" t="n">
        <v>6</v>
      </c>
      <c r="L28" s="32" t="n">
        <v>6</v>
      </c>
      <c r="M28" s="43">
        <f>IF(COUNT(C28:L28)=0,"",SUM(C28:L28))</f>
        <v/>
      </c>
      <c r="N28" s="44">
        <f>IF(M28="","",M28/100)</f>
        <v/>
      </c>
      <c r="O28" s="45">
        <f>IF(M28="","",IF(M28&lt;50,"ضعيف",IF(M28&lt;75,"متوسط","ممتاز")))</f>
        <v/>
      </c>
    </row>
    <row r="29" ht="18" customHeight="1">
      <c r="A29" s="46" t="n">
        <v>24</v>
      </c>
      <c r="B29" s="47">
        <f>'قاعدة الأسماء'!B28</f>
        <v/>
      </c>
      <c r="C29" s="48" t="n">
        <v>8</v>
      </c>
      <c r="D29" s="48" t="n">
        <v>7</v>
      </c>
      <c r="E29" s="48" t="n">
        <v>6</v>
      </c>
      <c r="F29" s="48" t="n">
        <v>6</v>
      </c>
      <c r="G29" s="48" t="n">
        <v>8</v>
      </c>
      <c r="H29" s="48" t="n">
        <v>7</v>
      </c>
      <c r="I29" s="48" t="n">
        <v>8</v>
      </c>
      <c r="J29" s="48" t="n">
        <v>7</v>
      </c>
      <c r="K29" s="48" t="n">
        <v>8</v>
      </c>
      <c r="L29" s="48" t="n">
        <v>7</v>
      </c>
      <c r="M29" s="49">
        <f>IF(COUNT(C29:L29)=0,"",SUM(C29:L29))</f>
        <v/>
      </c>
      <c r="N29" s="50">
        <f>IF(M29="","",M29/100)</f>
        <v/>
      </c>
      <c r="O29" s="51">
        <f>IF(M29="","",IF(M29&lt;50,"ضعيف",IF(M29&lt;75,"متوسط","ممتاز")))</f>
        <v/>
      </c>
    </row>
    <row r="30" ht="18" customHeight="1">
      <c r="A30" s="30" t="n">
        <v>25</v>
      </c>
      <c r="B30" s="31">
        <f>'قاعدة الأسماء'!B29</f>
        <v/>
      </c>
      <c r="C30" s="32" t="n">
        <v>7</v>
      </c>
      <c r="D30" s="32" t="n">
        <v>7</v>
      </c>
      <c r="E30" s="32" t="n">
        <v>6</v>
      </c>
      <c r="F30" s="32" t="n">
        <v>6</v>
      </c>
      <c r="G30" s="32" t="n">
        <v>6</v>
      </c>
      <c r="H30" s="32" t="n">
        <v>7</v>
      </c>
      <c r="I30" s="32" t="n">
        <v>7</v>
      </c>
      <c r="J30" s="32" t="n">
        <v>7</v>
      </c>
      <c r="K30" s="32" t="n">
        <v>6</v>
      </c>
      <c r="L30" s="32" t="n">
        <v>7</v>
      </c>
      <c r="M30" s="43">
        <f>IF(COUNT(C30:L30)=0,"",SUM(C30:L30))</f>
        <v/>
      </c>
      <c r="N30" s="44">
        <f>IF(M30="","",M30/100)</f>
        <v/>
      </c>
      <c r="O30" s="45">
        <f>IF(M30="","",IF(M30&lt;50,"ضعيف",IF(M30&lt;75,"متوسط","ممتاز")))</f>
        <v/>
      </c>
    </row>
    <row r="31" ht="18" customHeight="1">
      <c r="A31" s="46" t="n">
        <v>26</v>
      </c>
      <c r="B31" s="47">
        <f>'قاعدة الأسماء'!B30</f>
        <v/>
      </c>
      <c r="C31" s="48" t="n">
        <v>8</v>
      </c>
      <c r="D31" s="48" t="n">
        <v>8</v>
      </c>
      <c r="E31" s="48" t="n">
        <v>6</v>
      </c>
      <c r="F31" s="48" t="n">
        <v>7</v>
      </c>
      <c r="G31" s="48" t="n">
        <v>7</v>
      </c>
      <c r="H31" s="48" t="n">
        <v>6</v>
      </c>
      <c r="I31" s="48" t="n">
        <v>8</v>
      </c>
      <c r="J31" s="48" t="n">
        <v>6</v>
      </c>
      <c r="K31" s="48" t="n">
        <v>8</v>
      </c>
      <c r="L31" s="48" t="n">
        <v>7</v>
      </c>
      <c r="M31" s="49">
        <f>IF(COUNT(C31:L31)=0,"",SUM(C31:L31))</f>
        <v/>
      </c>
      <c r="N31" s="50">
        <f>IF(M31="","",M31/100)</f>
        <v/>
      </c>
      <c r="O31" s="51">
        <f>IF(M31="","",IF(M31&lt;50,"ضعيف",IF(M31&lt;75,"متوسط","ممتاز")))</f>
        <v/>
      </c>
    </row>
    <row r="32" ht="18" customHeight="1">
      <c r="A32" s="30" t="n">
        <v>27</v>
      </c>
      <c r="B32" s="31">
        <f>'قاعدة الأسماء'!B31</f>
        <v/>
      </c>
      <c r="C32" s="32" t="n">
        <v>7</v>
      </c>
      <c r="D32" s="32" t="n">
        <v>7</v>
      </c>
      <c r="E32" s="32" t="n">
        <v>6</v>
      </c>
      <c r="F32" s="32" t="n">
        <v>6</v>
      </c>
      <c r="G32" s="32" t="n">
        <v>6</v>
      </c>
      <c r="H32" s="32" t="n">
        <v>6</v>
      </c>
      <c r="I32" s="32" t="n">
        <v>7</v>
      </c>
      <c r="J32" s="32" t="n">
        <v>6</v>
      </c>
      <c r="K32" s="32" t="n">
        <v>6</v>
      </c>
      <c r="L32" s="32" t="n">
        <v>6</v>
      </c>
      <c r="M32" s="43">
        <f>IF(COUNT(C32:L32)=0,"",SUM(C32:L32))</f>
        <v/>
      </c>
      <c r="N32" s="44">
        <f>IF(M32="","",M32/100)</f>
        <v/>
      </c>
      <c r="O32" s="45">
        <f>IF(M32="","",IF(M32&lt;50,"ضعيف",IF(M32&lt;75,"متوسط","ممتاز")))</f>
        <v/>
      </c>
    </row>
    <row r="33" ht="18" customHeight="1">
      <c r="A33" s="46" t="n">
        <v>28</v>
      </c>
      <c r="B33" s="47">
        <f>'قاعدة الأسماء'!B32</f>
        <v/>
      </c>
      <c r="C33" s="48" t="n">
        <v>7</v>
      </c>
      <c r="D33" s="48" t="n">
        <v>7</v>
      </c>
      <c r="E33" s="48" t="n">
        <v>7</v>
      </c>
      <c r="F33" s="48" t="n">
        <v>7</v>
      </c>
      <c r="G33" s="48" t="n">
        <v>8</v>
      </c>
      <c r="H33" s="48" t="n">
        <v>7</v>
      </c>
      <c r="I33" s="48" t="n">
        <v>8</v>
      </c>
      <c r="J33" s="48" t="n">
        <v>6</v>
      </c>
      <c r="K33" s="48" t="n">
        <v>7</v>
      </c>
      <c r="L33" s="48" t="n">
        <v>7</v>
      </c>
      <c r="M33" s="49">
        <f>IF(COUNT(C33:L33)=0,"",SUM(C33:L33))</f>
        <v/>
      </c>
      <c r="N33" s="50">
        <f>IF(M33="","",M33/100)</f>
        <v/>
      </c>
      <c r="O33" s="51">
        <f>IF(M33="","",IF(M33&lt;50,"ضعيف",IF(M33&lt;75,"متوسط","ممتاز")))</f>
        <v/>
      </c>
    </row>
    <row r="34" ht="18" customHeight="1">
      <c r="A34" s="30" t="n">
        <v>29</v>
      </c>
      <c r="B34" s="31">
        <f>'قاعدة الأسماء'!B33</f>
        <v/>
      </c>
      <c r="C34" s="32" t="n">
        <v>6</v>
      </c>
      <c r="D34" s="32" t="n">
        <v>6</v>
      </c>
      <c r="E34" s="32" t="n">
        <v>6</v>
      </c>
      <c r="F34" s="32" t="n">
        <v>6</v>
      </c>
      <c r="G34" s="32" t="n">
        <v>6</v>
      </c>
      <c r="H34" s="32" t="n">
        <v>5</v>
      </c>
      <c r="I34" s="32" t="n">
        <v>6</v>
      </c>
      <c r="J34" s="32" t="n">
        <v>5</v>
      </c>
      <c r="K34" s="32" t="n">
        <v>6</v>
      </c>
      <c r="L34" s="32" t="n">
        <v>5</v>
      </c>
      <c r="M34" s="43">
        <f>IF(COUNT(C34:L34)=0,"",SUM(C34:L34))</f>
        <v/>
      </c>
      <c r="N34" s="44">
        <f>IF(M34="","",M34/100)</f>
        <v/>
      </c>
      <c r="O34" s="45">
        <f>IF(M34="","",IF(M34&lt;50,"ضعيف",IF(M34&lt;75,"متوسط","ممتاز")))</f>
        <v/>
      </c>
    </row>
    <row r="35" ht="18" customHeight="1">
      <c r="A35" s="46" t="n">
        <v>30</v>
      </c>
      <c r="B35" s="47">
        <f>'قاعدة الأسماء'!B34</f>
        <v/>
      </c>
      <c r="C35" s="48" t="n">
        <v>6</v>
      </c>
      <c r="D35" s="48" t="n">
        <v>7</v>
      </c>
      <c r="E35" s="48" t="n">
        <v>5</v>
      </c>
      <c r="F35" s="48" t="n">
        <v>5</v>
      </c>
      <c r="G35" s="48" t="n">
        <v>7</v>
      </c>
      <c r="H35" s="48" t="n">
        <v>6</v>
      </c>
      <c r="I35" s="48" t="n">
        <v>7</v>
      </c>
      <c r="J35" s="48" t="n">
        <v>7</v>
      </c>
      <c r="K35" s="48" t="n">
        <v>6</v>
      </c>
      <c r="L35" s="48" t="n">
        <v>7</v>
      </c>
      <c r="M35" s="49">
        <f>IF(COUNT(C35:L35)=0,"",SUM(C35:L35))</f>
        <v/>
      </c>
      <c r="N35" s="50">
        <f>IF(M35="","",M35/100)</f>
        <v/>
      </c>
      <c r="O35" s="51">
        <f>IF(M35="","",IF(M35&lt;50,"ضعيف",IF(M35&lt;75,"متوسط","ممتاز")))</f>
        <v/>
      </c>
    </row>
    <row r="36" ht="18" customHeight="1">
      <c r="A36" s="30" t="n">
        <v>31</v>
      </c>
      <c r="B36" s="31">
        <f>'قاعدة الأسماء'!B35</f>
        <v/>
      </c>
      <c r="C36" s="32" t="n">
        <v>7</v>
      </c>
      <c r="D36" s="32" t="n">
        <v>7</v>
      </c>
      <c r="E36" s="32" t="n">
        <v>6</v>
      </c>
      <c r="F36" s="32" t="n">
        <v>6</v>
      </c>
      <c r="G36" s="32" t="n">
        <v>7</v>
      </c>
      <c r="H36" s="32" t="n">
        <v>6</v>
      </c>
      <c r="I36" s="32" t="n">
        <v>7</v>
      </c>
      <c r="J36" s="32" t="n">
        <v>7</v>
      </c>
      <c r="K36" s="32" t="n">
        <v>7</v>
      </c>
      <c r="L36" s="32" t="n">
        <v>7</v>
      </c>
      <c r="M36" s="43">
        <f>IF(COUNT(C36:L36)=0,"",SUM(C36:L36))</f>
        <v/>
      </c>
      <c r="N36" s="44">
        <f>IF(M36="","",M36/100)</f>
        <v/>
      </c>
      <c r="O36" s="45">
        <f>IF(M36="","",IF(M36&lt;50,"ضعيف",IF(M36&lt;75,"متوسط","ممتاز")))</f>
        <v/>
      </c>
    </row>
    <row r="37" ht="18" customHeight="1">
      <c r="A37" s="46" t="n">
        <v>32</v>
      </c>
      <c r="B37" s="47">
        <f>'قاعدة الأسماء'!B36</f>
        <v/>
      </c>
      <c r="C37" s="48" t="n">
        <v>7</v>
      </c>
      <c r="D37" s="48" t="n">
        <v>6</v>
      </c>
      <c r="E37" s="48" t="n">
        <v>5</v>
      </c>
      <c r="F37" s="48" t="n">
        <v>5</v>
      </c>
      <c r="G37" s="48" t="n">
        <v>6</v>
      </c>
      <c r="H37" s="48" t="n">
        <v>5</v>
      </c>
      <c r="I37" s="48" t="n">
        <v>6</v>
      </c>
      <c r="J37" s="48" t="n">
        <v>5</v>
      </c>
      <c r="K37" s="48" t="n">
        <v>5</v>
      </c>
      <c r="L37" s="48" t="n">
        <v>6</v>
      </c>
      <c r="M37" s="49">
        <f>IF(COUNT(C37:L37)=0,"",SUM(C37:L37))</f>
        <v/>
      </c>
      <c r="N37" s="50">
        <f>IF(M37="","",M37/100)</f>
        <v/>
      </c>
      <c r="O37" s="51">
        <f>IF(M37="","",IF(M37&lt;50,"ضعيف",IF(M37&lt;75,"متوسط","ممتاز")))</f>
        <v/>
      </c>
    </row>
    <row r="38" ht="18" customHeight="1">
      <c r="A38" s="30" t="n">
        <v>33</v>
      </c>
      <c r="B38" s="31">
        <f>'قاعدة الأسماء'!B37</f>
        <v/>
      </c>
      <c r="C38" s="32" t="n">
        <v>7</v>
      </c>
      <c r="D38" s="32" t="n">
        <v>7</v>
      </c>
      <c r="E38" s="32" t="n">
        <v>5</v>
      </c>
      <c r="F38" s="32" t="n">
        <v>5</v>
      </c>
      <c r="G38" s="32" t="n">
        <v>6</v>
      </c>
      <c r="H38" s="32" t="n">
        <v>6</v>
      </c>
      <c r="I38" s="32" t="n">
        <v>7</v>
      </c>
      <c r="J38" s="32" t="n">
        <v>5</v>
      </c>
      <c r="K38" s="32" t="n">
        <v>6</v>
      </c>
      <c r="L38" s="32" t="n">
        <v>7</v>
      </c>
      <c r="M38" s="43">
        <f>IF(COUNT(C38:L38)=0,"",SUM(C38:L38))</f>
        <v/>
      </c>
      <c r="N38" s="44">
        <f>IF(M38="","",M38/100)</f>
        <v/>
      </c>
      <c r="O38" s="45">
        <f>IF(M38="","",IF(M38&lt;50,"ضعيف",IF(M38&lt;75,"متوسط","ممتاز")))</f>
        <v/>
      </c>
    </row>
    <row r="39" ht="18" customHeight="1">
      <c r="A39" s="46" t="n">
        <v>34</v>
      </c>
      <c r="B39" s="47">
        <f>'قاعدة الأسماء'!B38</f>
        <v/>
      </c>
      <c r="C39" s="48" t="n">
        <v>7</v>
      </c>
      <c r="D39" s="48" t="n">
        <v>6</v>
      </c>
      <c r="E39" s="48" t="n">
        <v>6</v>
      </c>
      <c r="F39" s="48" t="n">
        <v>6</v>
      </c>
      <c r="G39" s="48" t="n">
        <v>6</v>
      </c>
      <c r="H39" s="48" t="n">
        <v>6</v>
      </c>
      <c r="I39" s="48" t="n">
        <v>7</v>
      </c>
      <c r="J39" s="48" t="n">
        <v>6</v>
      </c>
      <c r="K39" s="48" t="n">
        <v>6</v>
      </c>
      <c r="L39" s="48" t="n">
        <v>6</v>
      </c>
      <c r="M39" s="49">
        <f>IF(COUNT(C39:L39)=0,"",SUM(C39:L39))</f>
        <v/>
      </c>
      <c r="N39" s="50">
        <f>IF(M39="","",M39/100)</f>
        <v/>
      </c>
      <c r="O39" s="51">
        <f>IF(M39="","",IF(M39&lt;50,"ضعيف",IF(M39&lt;75,"متوسط","ممتاز")))</f>
        <v/>
      </c>
    </row>
    <row r="40" ht="18" customHeight="1">
      <c r="A40" s="30" t="n">
        <v>35</v>
      </c>
      <c r="B40" s="31">
        <f>'قاعدة الأسماء'!B39</f>
        <v/>
      </c>
      <c r="C40" s="32" t="n">
        <v>6</v>
      </c>
      <c r="D40" s="32" t="n">
        <v>6</v>
      </c>
      <c r="E40" s="32" t="n">
        <v>6</v>
      </c>
      <c r="F40" s="32" t="n">
        <v>6</v>
      </c>
      <c r="G40" s="32" t="n">
        <v>7</v>
      </c>
      <c r="H40" s="32" t="n">
        <v>6</v>
      </c>
      <c r="I40" s="32" t="n">
        <v>7</v>
      </c>
      <c r="J40" s="32" t="n">
        <v>6</v>
      </c>
      <c r="K40" s="32" t="n">
        <v>6</v>
      </c>
      <c r="L40" s="32" t="n">
        <v>6</v>
      </c>
      <c r="M40" s="43">
        <f>IF(COUNT(C40:L40)=0,"",SUM(C40:L40))</f>
        <v/>
      </c>
      <c r="N40" s="44">
        <f>IF(M40="","",M40/100)</f>
        <v/>
      </c>
      <c r="O40" s="45">
        <f>IF(M40="","",IF(M40&lt;50,"ضعيف",IF(M40&lt;75,"متوسط","ممتاز")))</f>
        <v/>
      </c>
    </row>
    <row r="41" ht="18" customHeight="1">
      <c r="A41" s="46" t="n">
        <v>36</v>
      </c>
      <c r="B41" s="47">
        <f>'قاعدة الأسماء'!B40</f>
        <v/>
      </c>
      <c r="C41" s="48" t="n">
        <v>7</v>
      </c>
      <c r="D41" s="48" t="n">
        <v>7</v>
      </c>
      <c r="E41" s="48" t="n">
        <v>6</v>
      </c>
      <c r="F41" s="48" t="n">
        <v>6</v>
      </c>
      <c r="G41" s="48" t="n">
        <v>8</v>
      </c>
      <c r="H41" s="48" t="n">
        <v>7</v>
      </c>
      <c r="I41" s="48" t="n">
        <v>7</v>
      </c>
      <c r="J41" s="48" t="n">
        <v>7</v>
      </c>
      <c r="K41" s="48" t="n">
        <v>6</v>
      </c>
      <c r="L41" s="48" t="n">
        <v>7</v>
      </c>
      <c r="M41" s="49">
        <f>IF(COUNT(C41:L41)=0,"",SUM(C41:L41))</f>
        <v/>
      </c>
      <c r="N41" s="50">
        <f>IF(M41="","",M41/100)</f>
        <v/>
      </c>
      <c r="O41" s="51">
        <f>IF(M41="","",IF(M41&lt;50,"ضعيف",IF(M41&lt;75,"متوسط","ممتاز")))</f>
        <v/>
      </c>
    </row>
    <row r="42" ht="18" customHeight="1">
      <c r="A42" s="30" t="n">
        <v>37</v>
      </c>
      <c r="B42" s="31">
        <f>'قاعدة الأسماء'!B41</f>
        <v/>
      </c>
      <c r="C42" s="32" t="n">
        <v>7</v>
      </c>
      <c r="D42" s="32" t="n">
        <v>8</v>
      </c>
      <c r="E42" s="32" t="n">
        <v>6</v>
      </c>
      <c r="F42" s="32" t="n">
        <v>6</v>
      </c>
      <c r="G42" s="32" t="n">
        <v>7</v>
      </c>
      <c r="H42" s="32" t="n">
        <v>6</v>
      </c>
      <c r="I42" s="32" t="n">
        <v>8</v>
      </c>
      <c r="J42" s="32" t="n">
        <v>7</v>
      </c>
      <c r="K42" s="32" t="n">
        <v>7</v>
      </c>
      <c r="L42" s="32" t="n">
        <v>7</v>
      </c>
      <c r="M42" s="43">
        <f>IF(COUNT(C42:L42)=0,"",SUM(C42:L42))</f>
        <v/>
      </c>
      <c r="N42" s="44">
        <f>IF(M42="","",M42/100)</f>
        <v/>
      </c>
      <c r="O42" s="45">
        <f>IF(M42="","",IF(M42&lt;50,"ضعيف",IF(M42&lt;75,"متوسط","ممتاز")))</f>
        <v/>
      </c>
    </row>
    <row r="43" ht="18" customHeight="1">
      <c r="A43" s="46" t="n">
        <v>38</v>
      </c>
      <c r="B43" s="47">
        <f>'قاعدة الأسماء'!B42</f>
        <v/>
      </c>
      <c r="C43" s="48" t="n">
        <v>7</v>
      </c>
      <c r="D43" s="48" t="n">
        <v>7</v>
      </c>
      <c r="E43" s="48" t="n">
        <v>6</v>
      </c>
      <c r="F43" s="48" t="n">
        <v>7</v>
      </c>
      <c r="G43" s="48" t="n">
        <v>7</v>
      </c>
      <c r="H43" s="48" t="n">
        <v>7</v>
      </c>
      <c r="I43" s="48" t="n">
        <v>7</v>
      </c>
      <c r="J43" s="48" t="n">
        <v>6</v>
      </c>
      <c r="K43" s="48" t="n">
        <v>6</v>
      </c>
      <c r="L43" s="48" t="n">
        <v>7</v>
      </c>
      <c r="M43" s="49">
        <f>IF(COUNT(C43:L43)=0,"",SUM(C43:L43))</f>
        <v/>
      </c>
      <c r="N43" s="50">
        <f>IF(M43="","",M43/100)</f>
        <v/>
      </c>
      <c r="O43" s="51">
        <f>IF(M43="","",IF(M43&lt;50,"ضعيف",IF(M43&lt;75,"متوسط","ممتاز")))</f>
        <v/>
      </c>
    </row>
    <row r="44" ht="18" customHeight="1">
      <c r="A44" s="30" t="n">
        <v>39</v>
      </c>
      <c r="B44" s="31">
        <f>'قاعدة الأسماء'!B43</f>
        <v/>
      </c>
      <c r="C44" s="32" t="n">
        <v>7</v>
      </c>
      <c r="D44" s="32" t="n">
        <v>6</v>
      </c>
      <c r="E44" s="32" t="n">
        <v>5</v>
      </c>
      <c r="F44" s="32" t="n">
        <v>6</v>
      </c>
      <c r="G44" s="32" t="n">
        <v>6</v>
      </c>
      <c r="H44" s="32" t="n">
        <v>6</v>
      </c>
      <c r="I44" s="32" t="n">
        <v>6</v>
      </c>
      <c r="J44" s="32" t="n">
        <v>6</v>
      </c>
      <c r="K44" s="32" t="n">
        <v>5</v>
      </c>
      <c r="L44" s="32" t="n">
        <v>6</v>
      </c>
      <c r="M44" s="43">
        <f>IF(COUNT(C44:L44)=0,"",SUM(C44:L44))</f>
        <v/>
      </c>
      <c r="N44" s="44">
        <f>IF(M44="","",M44/100)</f>
        <v/>
      </c>
      <c r="O44" s="45">
        <f>IF(M44="","",IF(M44&lt;50,"ضعيف",IF(M44&lt;75,"متوسط","ممتاز")))</f>
        <v/>
      </c>
    </row>
    <row r="45" ht="18" customHeight="1">
      <c r="A45" s="46" t="n">
        <v>40</v>
      </c>
      <c r="B45" s="47">
        <f>'قاعدة الأسماء'!B44</f>
        <v/>
      </c>
      <c r="C45" s="48" t="n">
        <v>6</v>
      </c>
      <c r="D45" s="48" t="n">
        <v>5</v>
      </c>
      <c r="E45" s="48" t="n">
        <v>6</v>
      </c>
      <c r="F45" s="48" t="n">
        <v>4</v>
      </c>
      <c r="G45" s="48" t="n">
        <v>5</v>
      </c>
      <c r="H45" s="48" t="n">
        <v>6</v>
      </c>
      <c r="I45" s="48" t="n">
        <v>5</v>
      </c>
      <c r="J45" s="48" t="n">
        <v>6</v>
      </c>
      <c r="K45" s="48" t="n">
        <v>5</v>
      </c>
      <c r="L45" s="48" t="n">
        <v>6</v>
      </c>
      <c r="M45" s="49">
        <f>IF(COUNT(C45:L45)=0,"",SUM(C45:L45))</f>
        <v/>
      </c>
      <c r="N45" s="50">
        <f>IF(M45="","",M45/100)</f>
        <v/>
      </c>
      <c r="O45" s="51">
        <f>IF(M45="","",IF(M45&lt;50,"ضعيف",IF(M45&lt;75,"متوسط","ممتاز")))</f>
        <v/>
      </c>
    </row>
    <row r="46" ht="18" customHeight="1">
      <c r="A46" s="30" t="n">
        <v>41</v>
      </c>
      <c r="B46" s="31">
        <f>'قاعدة الأسماء'!B45</f>
        <v/>
      </c>
      <c r="C46" s="32" t="n">
        <v>7</v>
      </c>
      <c r="D46" s="32" t="n">
        <v>6</v>
      </c>
      <c r="E46" s="32" t="n">
        <v>5</v>
      </c>
      <c r="F46" s="32" t="n">
        <v>6</v>
      </c>
      <c r="G46" s="32" t="n">
        <v>6</v>
      </c>
      <c r="H46" s="32" t="n">
        <v>6</v>
      </c>
      <c r="I46" s="32" t="n">
        <v>6</v>
      </c>
      <c r="J46" s="32" t="n">
        <v>6</v>
      </c>
      <c r="K46" s="32" t="n">
        <v>5</v>
      </c>
      <c r="L46" s="32" t="n">
        <v>7</v>
      </c>
      <c r="M46" s="43">
        <f>IF(COUNT(C46:L46)=0,"",SUM(C46:L46))</f>
        <v/>
      </c>
      <c r="N46" s="44">
        <f>IF(M46="","",M46/100)</f>
        <v/>
      </c>
      <c r="O46" s="45">
        <f>IF(M46="","",IF(M46&lt;50,"ضعيف",IF(M46&lt;75,"متوسط","ممتاز")))</f>
        <v/>
      </c>
    </row>
    <row r="47" ht="18" customHeight="1">
      <c r="A47" s="46" t="n">
        <v>42</v>
      </c>
      <c r="B47" s="47">
        <f>'قاعدة الأسماء'!B46</f>
        <v/>
      </c>
      <c r="C47" s="48" t="n">
        <v>8</v>
      </c>
      <c r="D47" s="48" t="n">
        <v>7</v>
      </c>
      <c r="E47" s="48" t="n">
        <v>6</v>
      </c>
      <c r="F47" s="48" t="n">
        <v>6</v>
      </c>
      <c r="G47" s="48" t="n">
        <v>6</v>
      </c>
      <c r="H47" s="48" t="n">
        <v>7</v>
      </c>
      <c r="I47" s="48" t="n">
        <v>6</v>
      </c>
      <c r="J47" s="48" t="n">
        <v>6</v>
      </c>
      <c r="K47" s="48" t="n">
        <v>7</v>
      </c>
      <c r="L47" s="48" t="n">
        <v>6</v>
      </c>
      <c r="M47" s="49">
        <f>IF(COUNT(C47:L47)=0,"",SUM(C47:L47))</f>
        <v/>
      </c>
      <c r="N47" s="50">
        <f>IF(M47="","",M47/100)</f>
        <v/>
      </c>
      <c r="O47" s="51">
        <f>IF(M47="","",IF(M47&lt;50,"ضعيف",IF(M47&lt;75,"متوسط","ممتاز")))</f>
        <v/>
      </c>
    </row>
    <row r="48" ht="18" customHeight="1">
      <c r="A48" s="30" t="n">
        <v>43</v>
      </c>
      <c r="B48" s="31">
        <f>'قاعدة الأسماء'!B47</f>
        <v/>
      </c>
      <c r="C48" s="32" t="n">
        <v>7</v>
      </c>
      <c r="D48" s="32" t="n">
        <v>7</v>
      </c>
      <c r="E48" s="32" t="n">
        <v>6</v>
      </c>
      <c r="F48" s="32" t="n">
        <v>6</v>
      </c>
      <c r="G48" s="32" t="n">
        <v>7</v>
      </c>
      <c r="H48" s="32" t="n">
        <v>7</v>
      </c>
      <c r="I48" s="32" t="n">
        <v>7</v>
      </c>
      <c r="J48" s="32" t="n">
        <v>6</v>
      </c>
      <c r="K48" s="32" t="n">
        <v>7</v>
      </c>
      <c r="L48" s="32" t="n">
        <v>7</v>
      </c>
      <c r="M48" s="43">
        <f>IF(COUNT(C48:L48)=0,"",SUM(C48:L48))</f>
        <v/>
      </c>
      <c r="N48" s="44">
        <f>IF(M48="","",M48/100)</f>
        <v/>
      </c>
      <c r="O48" s="45">
        <f>IF(M48="","",IF(M48&lt;50,"ضعيف",IF(M48&lt;75,"متوسط","ممتاز")))</f>
        <v/>
      </c>
    </row>
    <row r="49" ht="18" customHeight="1">
      <c r="A49" s="46" t="n">
        <v>44</v>
      </c>
      <c r="B49" s="47">
        <f>'قاعدة الأسماء'!B48</f>
        <v/>
      </c>
      <c r="C49" s="48" t="n">
        <v>7</v>
      </c>
      <c r="D49" s="48" t="n">
        <v>6</v>
      </c>
      <c r="E49" s="48" t="n">
        <v>5</v>
      </c>
      <c r="F49" s="48" t="n">
        <v>5</v>
      </c>
      <c r="G49" s="48" t="n">
        <v>5</v>
      </c>
      <c r="H49" s="48" t="n">
        <v>6</v>
      </c>
      <c r="I49" s="48" t="n">
        <v>6</v>
      </c>
      <c r="J49" s="48" t="n">
        <v>6</v>
      </c>
      <c r="K49" s="48" t="n">
        <v>5</v>
      </c>
      <c r="L49" s="48" t="n">
        <v>6</v>
      </c>
      <c r="M49" s="49">
        <f>IF(COUNT(C49:L49)=0,"",SUM(C49:L49))</f>
        <v/>
      </c>
      <c r="N49" s="50">
        <f>IF(M49="","",M49/100)</f>
        <v/>
      </c>
      <c r="O49" s="51">
        <f>IF(M49="","",IF(M49&lt;50,"ضعيف",IF(M49&lt;75,"متوسط","ممتاز")))</f>
        <v/>
      </c>
    </row>
    <row r="50" ht="18" customHeight="1">
      <c r="A50" s="30" t="n">
        <v>45</v>
      </c>
      <c r="B50" s="31">
        <f>'قاعدة الأسماء'!B49</f>
        <v/>
      </c>
      <c r="C50" s="32" t="n">
        <v>7</v>
      </c>
      <c r="D50" s="32" t="n">
        <v>7</v>
      </c>
      <c r="E50" s="32" t="n">
        <v>5</v>
      </c>
      <c r="F50" s="32" t="n">
        <v>6</v>
      </c>
      <c r="G50" s="32" t="n">
        <v>6</v>
      </c>
      <c r="H50" s="32" t="n">
        <v>7</v>
      </c>
      <c r="I50" s="32" t="n">
        <v>6</v>
      </c>
      <c r="J50" s="32" t="n">
        <v>6</v>
      </c>
      <c r="K50" s="32" t="n">
        <v>6</v>
      </c>
      <c r="L50" s="32" t="n">
        <v>6</v>
      </c>
      <c r="M50" s="43">
        <f>IF(COUNT(C50:L50)=0,"",SUM(C50:L50))</f>
        <v/>
      </c>
      <c r="N50" s="44">
        <f>IF(M50="","",M50/100)</f>
        <v/>
      </c>
      <c r="O50" s="45">
        <f>IF(M50="","",IF(M50&lt;50,"ضعيف",IF(M50&lt;75,"متوسط","ممتاز")))</f>
        <v/>
      </c>
    </row>
    <row r="51" ht="18" customHeight="1">
      <c r="A51" s="46" t="n">
        <v>46</v>
      </c>
      <c r="B51" s="47">
        <f>'قاعدة الأسماء'!B50</f>
        <v/>
      </c>
      <c r="C51" s="48" t="n">
        <v>6</v>
      </c>
      <c r="D51" s="48" t="n">
        <v>7</v>
      </c>
      <c r="E51" s="48" t="n">
        <v>5</v>
      </c>
      <c r="F51" s="48" t="n">
        <v>5</v>
      </c>
      <c r="G51" s="48" t="n">
        <v>5</v>
      </c>
      <c r="H51" s="48" t="n">
        <v>5</v>
      </c>
      <c r="I51" s="48" t="n">
        <v>7</v>
      </c>
      <c r="J51" s="48" t="n">
        <v>6</v>
      </c>
      <c r="K51" s="48" t="n">
        <v>5</v>
      </c>
      <c r="L51" s="48" t="n">
        <v>6</v>
      </c>
      <c r="M51" s="49">
        <f>IF(COUNT(C51:L51)=0,"",SUM(C51:L51))</f>
        <v/>
      </c>
      <c r="N51" s="50">
        <f>IF(M51="","",M51/100)</f>
        <v/>
      </c>
      <c r="O51" s="51">
        <f>IF(M51="","",IF(M51&lt;50,"ضعيف",IF(M51&lt;75,"متوسط","ممتاز")))</f>
        <v/>
      </c>
    </row>
    <row r="52" ht="18" customHeight="1">
      <c r="A52" s="30" t="n">
        <v>47</v>
      </c>
      <c r="B52" s="31">
        <f>'قاعدة الأسماء'!B51</f>
        <v/>
      </c>
      <c r="C52" s="32" t="n">
        <v>7</v>
      </c>
      <c r="D52" s="32" t="n">
        <v>6</v>
      </c>
      <c r="E52" s="32" t="n">
        <v>6</v>
      </c>
      <c r="F52" s="32" t="n">
        <v>6</v>
      </c>
      <c r="G52" s="32" t="n">
        <v>6</v>
      </c>
      <c r="H52" s="32" t="n">
        <v>5</v>
      </c>
      <c r="I52" s="32" t="n">
        <v>6</v>
      </c>
      <c r="J52" s="32" t="n">
        <v>5</v>
      </c>
      <c r="K52" s="32" t="n">
        <v>6</v>
      </c>
      <c r="L52" s="32" t="n">
        <v>6</v>
      </c>
      <c r="M52" s="43">
        <f>IF(COUNT(C52:L52)=0,"",SUM(C52:L52))</f>
        <v/>
      </c>
      <c r="N52" s="44">
        <f>IF(M52="","",M52/100)</f>
        <v/>
      </c>
      <c r="O52" s="45">
        <f>IF(M52="","",IF(M52&lt;50,"ضعيف",IF(M52&lt;75,"متوسط","ممتاز")))</f>
        <v/>
      </c>
    </row>
    <row r="53" ht="18" customHeight="1">
      <c r="A53" s="46" t="n">
        <v>48</v>
      </c>
      <c r="B53" s="47">
        <f>'قاعدة الأسماء'!B52</f>
        <v/>
      </c>
      <c r="C53" s="48" t="n">
        <v>8</v>
      </c>
      <c r="D53" s="48" t="n">
        <v>7</v>
      </c>
      <c r="E53" s="48" t="n">
        <v>7</v>
      </c>
      <c r="F53" s="48" t="n">
        <v>6</v>
      </c>
      <c r="G53" s="48" t="n">
        <v>7</v>
      </c>
      <c r="H53" s="48" t="n">
        <v>7</v>
      </c>
      <c r="I53" s="48" t="n">
        <v>7</v>
      </c>
      <c r="J53" s="48" t="n">
        <v>7</v>
      </c>
      <c r="K53" s="48" t="n">
        <v>8</v>
      </c>
      <c r="L53" s="48" t="n">
        <v>7</v>
      </c>
      <c r="M53" s="49">
        <f>IF(COUNT(C53:L53)=0,"",SUM(C53:L53))</f>
        <v/>
      </c>
      <c r="N53" s="50">
        <f>IF(M53="","",M53/100)</f>
        <v/>
      </c>
      <c r="O53" s="51">
        <f>IF(M53="","",IF(M53&lt;50,"ضعيف",IF(M53&lt;75,"متوسط","ممتاز")))</f>
        <v/>
      </c>
    </row>
    <row r="54" ht="18" customHeight="1">
      <c r="A54" s="30" t="n">
        <v>49</v>
      </c>
      <c r="B54" s="31">
        <f>'قاعدة الأسماء'!B53</f>
        <v/>
      </c>
      <c r="C54" s="32" t="n">
        <v>7</v>
      </c>
      <c r="D54" s="32" t="n">
        <v>7</v>
      </c>
      <c r="E54" s="32" t="n">
        <v>6</v>
      </c>
      <c r="F54" s="32" t="n">
        <v>6</v>
      </c>
      <c r="G54" s="32" t="n">
        <v>6</v>
      </c>
      <c r="H54" s="32" t="n">
        <v>6</v>
      </c>
      <c r="I54" s="32" t="n">
        <v>7</v>
      </c>
      <c r="J54" s="32" t="n">
        <v>6</v>
      </c>
      <c r="K54" s="32" t="n">
        <v>7</v>
      </c>
      <c r="L54" s="32" t="n">
        <v>6</v>
      </c>
      <c r="M54" s="43">
        <f>IF(COUNT(C54:L54)=0,"",SUM(C54:L54))</f>
        <v/>
      </c>
      <c r="N54" s="44">
        <f>IF(M54="","",M54/100)</f>
        <v/>
      </c>
      <c r="O54" s="45">
        <f>IF(M54="","",IF(M54&lt;50,"ضعيف",IF(M54&lt;75,"متوسط","ممتاز")))</f>
        <v/>
      </c>
    </row>
    <row r="55" ht="18" customHeight="1">
      <c r="A55" s="46" t="n">
        <v>50</v>
      </c>
      <c r="B55" s="47">
        <f>'قاعدة الأسماء'!B54</f>
        <v/>
      </c>
      <c r="C55" s="48" t="n">
        <v>7</v>
      </c>
      <c r="D55" s="48" t="n">
        <v>7</v>
      </c>
      <c r="E55" s="48" t="n">
        <v>6</v>
      </c>
      <c r="F55" s="48" t="n">
        <v>6</v>
      </c>
      <c r="G55" s="48" t="n">
        <v>7</v>
      </c>
      <c r="H55" s="48" t="n">
        <v>7</v>
      </c>
      <c r="I55" s="48" t="n">
        <v>7</v>
      </c>
      <c r="J55" s="48" t="n">
        <v>6</v>
      </c>
      <c r="K55" s="48" t="n">
        <v>7</v>
      </c>
      <c r="L55" s="48" t="n">
        <v>6</v>
      </c>
      <c r="M55" s="49">
        <f>IF(COUNT(C55:L55)=0,"",SUM(C55:L55))</f>
        <v/>
      </c>
      <c r="N55" s="50">
        <f>IF(M55="","",M55/100)</f>
        <v/>
      </c>
      <c r="O55" s="51">
        <f>IF(M55="","",IF(M55&lt;50,"ضعيف",IF(M55&lt;75,"متوسط","ممتاز")))</f>
        <v/>
      </c>
    </row>
    <row r="56" ht="18" customHeight="1">
      <c r="A56" s="30" t="n">
        <v>51</v>
      </c>
      <c r="B56" s="31">
        <f>'قاعدة الأسماء'!B55</f>
        <v/>
      </c>
      <c r="C56" s="32" t="n">
        <v>7</v>
      </c>
      <c r="D56" s="32" t="n">
        <v>7</v>
      </c>
      <c r="E56" s="32" t="n">
        <v>6</v>
      </c>
      <c r="F56" s="32" t="n">
        <v>7</v>
      </c>
      <c r="G56" s="32" t="n">
        <v>7</v>
      </c>
      <c r="H56" s="32" t="n">
        <v>6</v>
      </c>
      <c r="I56" s="32" t="n">
        <v>8</v>
      </c>
      <c r="J56" s="32" t="n">
        <v>7</v>
      </c>
      <c r="K56" s="32" t="n">
        <v>7</v>
      </c>
      <c r="L56" s="32" t="n">
        <v>7</v>
      </c>
      <c r="M56" s="43">
        <f>IF(COUNT(C56:L56)=0,"",SUM(C56:L56))</f>
        <v/>
      </c>
      <c r="N56" s="44">
        <f>IF(M56="","",M56/100)</f>
        <v/>
      </c>
      <c r="O56" s="45">
        <f>IF(M56="","",IF(M56&lt;50,"ضعيف",IF(M56&lt;75,"متوسط","ممتاز")))</f>
        <v/>
      </c>
    </row>
    <row r="57" ht="18" customHeight="1">
      <c r="A57" s="46" t="n">
        <v>52</v>
      </c>
      <c r="B57" s="47">
        <f>'قاعدة الأسماء'!B56</f>
        <v/>
      </c>
      <c r="C57" s="48" t="n">
        <v>7</v>
      </c>
      <c r="D57" s="48" t="n">
        <v>7</v>
      </c>
      <c r="E57" s="48" t="n">
        <v>5</v>
      </c>
      <c r="F57" s="48" t="n">
        <v>6</v>
      </c>
      <c r="G57" s="48" t="n">
        <v>7</v>
      </c>
      <c r="H57" s="48" t="n">
        <v>7</v>
      </c>
      <c r="I57" s="48" t="n">
        <v>7</v>
      </c>
      <c r="J57" s="48" t="n">
        <v>7</v>
      </c>
      <c r="K57" s="48" t="n">
        <v>6</v>
      </c>
      <c r="L57" s="48" t="n">
        <v>6</v>
      </c>
      <c r="M57" s="49">
        <f>IF(COUNT(C57:L57)=0,"",SUM(C57:L57))</f>
        <v/>
      </c>
      <c r="N57" s="50">
        <f>IF(M57="","",M57/100)</f>
        <v/>
      </c>
      <c r="O57" s="51">
        <f>IF(M57="","",IF(M57&lt;50,"ضعيف",IF(M57&lt;75,"متوسط","ممتاز")))</f>
        <v/>
      </c>
    </row>
    <row r="58" ht="18" customHeight="1">
      <c r="A58" s="30" t="n">
        <v>53</v>
      </c>
      <c r="B58" s="31">
        <f>'قاعدة الأسماء'!B57</f>
        <v/>
      </c>
      <c r="C58" s="32" t="n">
        <v>7</v>
      </c>
      <c r="D58" s="32" t="n">
        <v>7</v>
      </c>
      <c r="E58" s="32" t="n">
        <v>7</v>
      </c>
      <c r="F58" s="32" t="n">
        <v>6</v>
      </c>
      <c r="G58" s="32" t="n">
        <v>7</v>
      </c>
      <c r="H58" s="32" t="n">
        <v>6</v>
      </c>
      <c r="I58" s="32" t="n">
        <v>8</v>
      </c>
      <c r="J58" s="32" t="n">
        <v>7</v>
      </c>
      <c r="K58" s="32" t="n">
        <v>7</v>
      </c>
      <c r="L58" s="32" t="n">
        <v>7</v>
      </c>
      <c r="M58" s="43">
        <f>IF(COUNT(C58:L58)=0,"",SUM(C58:L58))</f>
        <v/>
      </c>
      <c r="N58" s="44">
        <f>IF(M58="","",M58/100)</f>
        <v/>
      </c>
      <c r="O58" s="45">
        <f>IF(M58="","",IF(M58&lt;50,"ضعيف",IF(M58&lt;75,"متوسط","ممتاز")))</f>
        <v/>
      </c>
    </row>
    <row r="59" ht="18" customHeight="1">
      <c r="A59" s="46" t="n">
        <v>54</v>
      </c>
      <c r="B59" s="47">
        <f>'قاعدة الأسماء'!B58</f>
        <v/>
      </c>
      <c r="C59" s="48" t="n">
        <v>6</v>
      </c>
      <c r="D59" s="48" t="n">
        <v>5</v>
      </c>
      <c r="E59" s="48" t="n">
        <v>4</v>
      </c>
      <c r="F59" s="48" t="n">
        <v>4</v>
      </c>
      <c r="G59" s="48" t="n">
        <v>6</v>
      </c>
      <c r="H59" s="48" t="n">
        <v>5</v>
      </c>
      <c r="I59" s="48" t="n">
        <v>6</v>
      </c>
      <c r="J59" s="48" t="n">
        <v>5</v>
      </c>
      <c r="K59" s="48" t="n">
        <v>5</v>
      </c>
      <c r="L59" s="48" t="n">
        <v>6</v>
      </c>
      <c r="M59" s="49">
        <f>IF(COUNT(C59:L59)=0,"",SUM(C59:L59))</f>
        <v/>
      </c>
      <c r="N59" s="50">
        <f>IF(M59="","",M59/100)</f>
        <v/>
      </c>
      <c r="O59" s="51">
        <f>IF(M59="","",IF(M59&lt;50,"ضعيف",IF(M59&lt;75,"متوسط","ممتاز")))</f>
        <v/>
      </c>
    </row>
    <row r="60" ht="18" customHeight="1">
      <c r="A60" s="30" t="n">
        <v>55</v>
      </c>
      <c r="B60" s="31">
        <f>'قاعدة الأسماء'!B59</f>
        <v/>
      </c>
      <c r="C60" s="32" t="n">
        <v>7</v>
      </c>
      <c r="D60" s="32" t="n">
        <v>6</v>
      </c>
      <c r="E60" s="32" t="n">
        <v>5</v>
      </c>
      <c r="F60" s="32" t="n">
        <v>5</v>
      </c>
      <c r="G60" s="32" t="n">
        <v>7</v>
      </c>
      <c r="H60" s="32" t="n">
        <v>5</v>
      </c>
      <c r="I60" s="32" t="n">
        <v>6</v>
      </c>
      <c r="J60" s="32" t="n">
        <v>6</v>
      </c>
      <c r="K60" s="32" t="n">
        <v>5</v>
      </c>
      <c r="L60" s="32" t="n">
        <v>7</v>
      </c>
      <c r="M60" s="43">
        <f>IF(COUNT(C60:L60)=0,"",SUM(C60:L60))</f>
        <v/>
      </c>
      <c r="N60" s="44">
        <f>IF(M60="","",M60/100)</f>
        <v/>
      </c>
      <c r="O60" s="45">
        <f>IF(M60="","",IF(M60&lt;50,"ضعيف",IF(M60&lt;75,"متوسط","ممتاز")))</f>
        <v/>
      </c>
    </row>
    <row r="61" ht="18" customHeight="1">
      <c r="A61" s="46" t="n">
        <v>56</v>
      </c>
      <c r="B61" s="47">
        <f>'قاعدة الأسماء'!B60</f>
        <v/>
      </c>
      <c r="C61" s="48" t="n">
        <v>7</v>
      </c>
      <c r="D61" s="48" t="n">
        <v>6</v>
      </c>
      <c r="E61" s="48" t="n">
        <v>5</v>
      </c>
      <c r="F61" s="48" t="n">
        <v>5</v>
      </c>
      <c r="G61" s="48" t="n">
        <v>7</v>
      </c>
      <c r="H61" s="48" t="n">
        <v>6</v>
      </c>
      <c r="I61" s="48" t="n">
        <v>7</v>
      </c>
      <c r="J61" s="48" t="n">
        <v>6</v>
      </c>
      <c r="K61" s="48" t="n">
        <v>6</v>
      </c>
      <c r="L61" s="48" t="n">
        <v>7</v>
      </c>
      <c r="M61" s="49">
        <f>IF(COUNT(C61:L61)=0,"",SUM(C61:L61))</f>
        <v/>
      </c>
      <c r="N61" s="50">
        <f>IF(M61="","",M61/100)</f>
        <v/>
      </c>
      <c r="O61" s="51">
        <f>IF(M61="","",IF(M61&lt;50,"ضعيف",IF(M61&lt;75,"متوسط","ممتاز")))</f>
        <v/>
      </c>
    </row>
    <row r="62" ht="18" customHeight="1">
      <c r="A62" s="30" t="n">
        <v>57</v>
      </c>
      <c r="B62" s="31">
        <f>'قاعدة الأسماء'!B61</f>
        <v/>
      </c>
      <c r="C62" s="32" t="n">
        <v>7</v>
      </c>
      <c r="D62" s="32" t="n">
        <v>7</v>
      </c>
      <c r="E62" s="32" t="n">
        <v>5</v>
      </c>
      <c r="F62" s="32" t="n">
        <v>6</v>
      </c>
      <c r="G62" s="32" t="n">
        <v>7</v>
      </c>
      <c r="H62" s="32" t="n">
        <v>5</v>
      </c>
      <c r="I62" s="32" t="n">
        <v>7</v>
      </c>
      <c r="J62" s="32" t="n">
        <v>7</v>
      </c>
      <c r="K62" s="32" t="n">
        <v>6</v>
      </c>
      <c r="L62" s="32" t="n">
        <v>7</v>
      </c>
      <c r="M62" s="43">
        <f>IF(COUNT(C62:L62)=0,"",SUM(C62:L62))</f>
        <v/>
      </c>
      <c r="N62" s="44">
        <f>IF(M62="","",M62/100)</f>
        <v/>
      </c>
      <c r="O62" s="45">
        <f>IF(M62="","",IF(M62&lt;50,"ضعيف",IF(M62&lt;75,"متوسط","ممتاز")))</f>
        <v/>
      </c>
    </row>
    <row r="63" ht="18" customHeight="1">
      <c r="A63" s="46" t="n">
        <v>58</v>
      </c>
      <c r="B63" s="47">
        <f>'قاعدة الأسماء'!B62</f>
        <v/>
      </c>
      <c r="C63" s="48" t="n">
        <v>6</v>
      </c>
      <c r="D63" s="48" t="n">
        <v>7</v>
      </c>
      <c r="E63" s="48" t="n">
        <v>5</v>
      </c>
      <c r="F63" s="48" t="n">
        <v>6</v>
      </c>
      <c r="G63" s="48" t="n">
        <v>7</v>
      </c>
      <c r="H63" s="48" t="n">
        <v>6</v>
      </c>
      <c r="I63" s="48" t="n">
        <v>7</v>
      </c>
      <c r="J63" s="48" t="n">
        <v>6</v>
      </c>
      <c r="K63" s="48" t="n">
        <v>7</v>
      </c>
      <c r="L63" s="48" t="n">
        <v>6</v>
      </c>
      <c r="M63" s="49">
        <f>IF(COUNT(C63:L63)=0,"",SUM(C63:L63))</f>
        <v/>
      </c>
      <c r="N63" s="50">
        <f>IF(M63="","",M63/100)</f>
        <v/>
      </c>
      <c r="O63" s="51">
        <f>IF(M63="","",IF(M63&lt;50,"ضعيف",IF(M63&lt;75,"متوسط","ممتاز")))</f>
        <v/>
      </c>
    </row>
    <row r="64" ht="18" customHeight="1">
      <c r="A64" s="30" t="n">
        <v>59</v>
      </c>
      <c r="B64" s="31">
        <f>'قاعدة الأسماء'!B63</f>
        <v/>
      </c>
      <c r="C64" s="32" t="n">
        <v>6</v>
      </c>
      <c r="D64" s="32" t="n">
        <v>6</v>
      </c>
      <c r="E64" s="32" t="n">
        <v>4</v>
      </c>
      <c r="F64" s="32" t="n">
        <v>5</v>
      </c>
      <c r="G64" s="32" t="n">
        <v>6</v>
      </c>
      <c r="H64" s="32" t="n">
        <v>5</v>
      </c>
      <c r="I64" s="32" t="n">
        <v>6</v>
      </c>
      <c r="J64" s="32" t="n">
        <v>6</v>
      </c>
      <c r="K64" s="32" t="n">
        <v>5</v>
      </c>
      <c r="L64" s="32" t="n">
        <v>5</v>
      </c>
      <c r="M64" s="43">
        <f>IF(COUNT(C64:L64)=0,"",SUM(C64:L64))</f>
        <v/>
      </c>
      <c r="N64" s="44">
        <f>IF(M64="","",M64/100)</f>
        <v/>
      </c>
      <c r="O64" s="45">
        <f>IF(M64="","",IF(M64&lt;50,"ضعيف",IF(M64&lt;75,"متوسط","ممتاز")))</f>
        <v/>
      </c>
    </row>
    <row r="65" ht="18" customHeight="1">
      <c r="A65" s="46" t="n">
        <v>60</v>
      </c>
      <c r="B65" s="47">
        <f>'قاعدة الأسماء'!B64</f>
        <v/>
      </c>
      <c r="C65" s="48" t="n">
        <v>7</v>
      </c>
      <c r="D65" s="48" t="n">
        <v>6</v>
      </c>
      <c r="E65" s="48" t="n">
        <v>5</v>
      </c>
      <c r="F65" s="48" t="n">
        <v>6</v>
      </c>
      <c r="G65" s="48" t="n">
        <v>6</v>
      </c>
      <c r="H65" s="48" t="n">
        <v>6</v>
      </c>
      <c r="I65" s="48" t="n">
        <v>6</v>
      </c>
      <c r="J65" s="48" t="n">
        <v>5</v>
      </c>
      <c r="K65" s="48" t="n">
        <v>6</v>
      </c>
      <c r="L65" s="48" t="n">
        <v>7</v>
      </c>
      <c r="M65" s="49">
        <f>IF(COUNT(C65:L65)=0,"",SUM(C65:L65))</f>
        <v/>
      </c>
      <c r="N65" s="50">
        <f>IF(M65="","",M65/100)</f>
        <v/>
      </c>
      <c r="O65" s="51">
        <f>IF(M65="","",IF(M65&lt;50,"ضعيف",IF(M65&lt;75,"متوسط","ممتاز")))</f>
        <v/>
      </c>
    </row>
    <row r="66" ht="18" customHeight="1">
      <c r="A66" s="30" t="n">
        <v>61</v>
      </c>
      <c r="B66" s="31">
        <f>'قاعدة الأسماء'!B65</f>
        <v/>
      </c>
      <c r="C66" s="32" t="n">
        <v>6</v>
      </c>
      <c r="D66" s="32" t="n">
        <v>6</v>
      </c>
      <c r="E66" s="32" t="n">
        <v>5</v>
      </c>
      <c r="F66" s="32" t="n">
        <v>5</v>
      </c>
      <c r="G66" s="32" t="n">
        <v>5</v>
      </c>
      <c r="H66" s="32" t="n">
        <v>6</v>
      </c>
      <c r="I66" s="32" t="n">
        <v>6</v>
      </c>
      <c r="J66" s="32" t="n">
        <v>6</v>
      </c>
      <c r="K66" s="32" t="n">
        <v>6</v>
      </c>
      <c r="L66" s="32" t="n">
        <v>6</v>
      </c>
      <c r="M66" s="43">
        <f>IF(COUNT(C66:L66)=0,"",SUM(C66:L66))</f>
        <v/>
      </c>
      <c r="N66" s="44">
        <f>IF(M66="","",M66/100)</f>
        <v/>
      </c>
      <c r="O66" s="45">
        <f>IF(M66="","",IF(M66&lt;50,"ضعيف",IF(M66&lt;75,"متوسط","ممتاز")))</f>
        <v/>
      </c>
    </row>
    <row r="67" ht="18" customHeight="1">
      <c r="A67" s="46" t="n">
        <v>62</v>
      </c>
      <c r="B67" s="47">
        <f>'قاعدة الأسماء'!B66</f>
        <v/>
      </c>
      <c r="C67" s="48" t="n">
        <v>7</v>
      </c>
      <c r="D67" s="48" t="n">
        <v>7</v>
      </c>
      <c r="E67" s="48" t="n">
        <v>6</v>
      </c>
      <c r="F67" s="48" t="n">
        <v>6</v>
      </c>
      <c r="G67" s="48" t="n">
        <v>7</v>
      </c>
      <c r="H67" s="48" t="n">
        <v>6</v>
      </c>
      <c r="I67" s="48" t="n">
        <v>7</v>
      </c>
      <c r="J67" s="48" t="n">
        <v>5</v>
      </c>
      <c r="K67" s="48" t="n">
        <v>6</v>
      </c>
      <c r="L67" s="48" t="n">
        <v>6</v>
      </c>
      <c r="M67" s="49">
        <f>IF(COUNT(C67:L67)=0,"",SUM(C67:L67))</f>
        <v/>
      </c>
      <c r="N67" s="50">
        <f>IF(M67="","",M67/100)</f>
        <v/>
      </c>
      <c r="O67" s="51">
        <f>IF(M67="","",IF(M67&lt;50,"ضعيف",IF(M67&lt;75,"متوسط","ممتاز")))</f>
        <v/>
      </c>
    </row>
    <row r="68" ht="18" customHeight="1">
      <c r="A68" s="30" t="n">
        <v>63</v>
      </c>
      <c r="B68" s="31">
        <f>'قاعدة الأسماء'!B67</f>
        <v/>
      </c>
      <c r="C68" s="32" t="n">
        <v>6</v>
      </c>
      <c r="D68" s="32" t="n">
        <v>6</v>
      </c>
      <c r="E68" s="32" t="n">
        <v>6</v>
      </c>
      <c r="F68" s="32" t="n">
        <v>5</v>
      </c>
      <c r="G68" s="32" t="n">
        <v>6</v>
      </c>
      <c r="H68" s="32" t="n">
        <v>6</v>
      </c>
      <c r="I68" s="32" t="n">
        <v>7</v>
      </c>
      <c r="J68" s="32" t="n">
        <v>7</v>
      </c>
      <c r="K68" s="32" t="n">
        <v>6</v>
      </c>
      <c r="L68" s="32" t="n">
        <v>7</v>
      </c>
      <c r="M68" s="43">
        <f>IF(COUNT(C68:L68)=0,"",SUM(C68:L68))</f>
        <v/>
      </c>
      <c r="N68" s="44">
        <f>IF(M68="","",M68/100)</f>
        <v/>
      </c>
      <c r="O68" s="45">
        <f>IF(M68="","",IF(M68&lt;50,"ضعيف",IF(M68&lt;75,"متوسط","ممتاز")))</f>
        <v/>
      </c>
    </row>
    <row r="69" ht="18" customHeight="1">
      <c r="A69" s="46" t="n">
        <v>64</v>
      </c>
      <c r="B69" s="47">
        <f>'قاعدة الأسماء'!B68</f>
        <v/>
      </c>
      <c r="C69" s="48" t="n">
        <v>7</v>
      </c>
      <c r="D69" s="48" t="n">
        <v>6</v>
      </c>
      <c r="E69" s="48" t="n">
        <v>5</v>
      </c>
      <c r="F69" s="48" t="n">
        <v>5</v>
      </c>
      <c r="G69" s="48" t="n">
        <v>6</v>
      </c>
      <c r="H69" s="48" t="n">
        <v>6</v>
      </c>
      <c r="I69" s="48" t="n">
        <v>6</v>
      </c>
      <c r="J69" s="48" t="n">
        <v>5</v>
      </c>
      <c r="K69" s="48" t="n">
        <v>6</v>
      </c>
      <c r="L69" s="48" t="n">
        <v>6</v>
      </c>
      <c r="M69" s="49">
        <f>IF(COUNT(C69:L69)=0,"",SUM(C69:L69))</f>
        <v/>
      </c>
      <c r="N69" s="50">
        <f>IF(M69="","",M69/100)</f>
        <v/>
      </c>
      <c r="O69" s="51">
        <f>IF(M69="","",IF(M69&lt;50,"ضعيف",IF(M69&lt;75,"متوسط","ممتاز")))</f>
        <v/>
      </c>
    </row>
    <row r="70" ht="18" customHeight="1">
      <c r="A70" s="30" t="n">
        <v>65</v>
      </c>
      <c r="B70" s="31">
        <f>'قاعدة الأسماء'!B69</f>
        <v/>
      </c>
      <c r="C70" s="32" t="n">
        <v>6</v>
      </c>
      <c r="D70" s="32" t="n">
        <v>7</v>
      </c>
      <c r="E70" s="32" t="n">
        <v>6</v>
      </c>
      <c r="F70" s="32" t="n">
        <v>5</v>
      </c>
      <c r="G70" s="32" t="n">
        <v>5</v>
      </c>
      <c r="H70" s="32" t="n">
        <v>5</v>
      </c>
      <c r="I70" s="32" t="n">
        <v>7</v>
      </c>
      <c r="J70" s="32" t="n">
        <v>5</v>
      </c>
      <c r="K70" s="32" t="n">
        <v>6</v>
      </c>
      <c r="L70" s="32" t="n">
        <v>5</v>
      </c>
      <c r="M70" s="43">
        <f>IF(COUNT(C70:L70)=0,"",SUM(C70:L70))</f>
        <v/>
      </c>
      <c r="N70" s="44">
        <f>IF(M70="","",M70/100)</f>
        <v/>
      </c>
      <c r="O70" s="45">
        <f>IF(M70="","",IF(M70&lt;50,"ضعيف",IF(M70&lt;75,"متوسط","ممتاز")))</f>
        <v/>
      </c>
    </row>
    <row r="71" ht="18" customHeight="1">
      <c r="A71" s="46" t="n">
        <v>66</v>
      </c>
      <c r="B71" s="47">
        <f>'قاعدة الأسماء'!B70</f>
        <v/>
      </c>
      <c r="C71" s="48" t="n">
        <v>7</v>
      </c>
      <c r="D71" s="48" t="n">
        <v>7</v>
      </c>
      <c r="E71" s="48" t="n">
        <v>6</v>
      </c>
      <c r="F71" s="48" t="n">
        <v>6</v>
      </c>
      <c r="G71" s="48" t="n">
        <v>6</v>
      </c>
      <c r="H71" s="48" t="n">
        <v>6</v>
      </c>
      <c r="I71" s="48" t="n">
        <v>6</v>
      </c>
      <c r="J71" s="48" t="n">
        <v>6</v>
      </c>
      <c r="K71" s="48" t="n">
        <v>6</v>
      </c>
      <c r="L71" s="48" t="n">
        <v>5</v>
      </c>
      <c r="M71" s="49">
        <f>IF(COUNT(C71:L71)=0,"",SUM(C71:L71))</f>
        <v/>
      </c>
      <c r="N71" s="50">
        <f>IF(M71="","",M71/100)</f>
        <v/>
      </c>
      <c r="O71" s="51">
        <f>IF(M71="","",IF(M71&lt;50,"ضعيف",IF(M71&lt;75,"متوسط","ممتاز")))</f>
        <v/>
      </c>
    </row>
    <row r="72" ht="18" customHeight="1">
      <c r="A72" s="30" t="n">
        <v>67</v>
      </c>
      <c r="B72" s="31">
        <f>'قاعدة الأسماء'!B71</f>
        <v/>
      </c>
      <c r="C72" s="32" t="n">
        <v>7</v>
      </c>
      <c r="D72" s="32" t="n">
        <v>6</v>
      </c>
      <c r="E72" s="32" t="n">
        <v>6</v>
      </c>
      <c r="F72" s="32" t="n">
        <v>6</v>
      </c>
      <c r="G72" s="32" t="n">
        <v>7</v>
      </c>
      <c r="H72" s="32" t="n">
        <v>6</v>
      </c>
      <c r="I72" s="32" t="n">
        <v>7</v>
      </c>
      <c r="J72" s="32" t="n">
        <v>5</v>
      </c>
      <c r="K72" s="32" t="n">
        <v>6</v>
      </c>
      <c r="L72" s="32" t="n">
        <v>6</v>
      </c>
      <c r="M72" s="43">
        <f>IF(COUNT(C72:L72)=0,"",SUM(C72:L72))</f>
        <v/>
      </c>
      <c r="N72" s="44">
        <f>IF(M72="","",M72/100)</f>
        <v/>
      </c>
      <c r="O72" s="45">
        <f>IF(M72="","",IF(M72&lt;50,"ضعيف",IF(M72&lt;75,"متوسط","ممتاز")))</f>
        <v/>
      </c>
    </row>
    <row r="73" ht="18" customHeight="1">
      <c r="A73" s="46" t="n">
        <v>68</v>
      </c>
      <c r="B73" s="47">
        <f>'قاعدة الأسماء'!B72</f>
        <v/>
      </c>
      <c r="C73" s="48" t="n">
        <v>7</v>
      </c>
      <c r="D73" s="48" t="n">
        <v>7</v>
      </c>
      <c r="E73" s="48" t="n">
        <v>6</v>
      </c>
      <c r="F73" s="48" t="n">
        <v>6</v>
      </c>
      <c r="G73" s="48" t="n">
        <v>7</v>
      </c>
      <c r="H73" s="48" t="n">
        <v>7</v>
      </c>
      <c r="I73" s="48" t="n">
        <v>8</v>
      </c>
      <c r="J73" s="48" t="n">
        <v>6</v>
      </c>
      <c r="K73" s="48" t="n">
        <v>6</v>
      </c>
      <c r="L73" s="48" t="n">
        <v>7</v>
      </c>
      <c r="M73" s="49">
        <f>IF(COUNT(C73:L73)=0,"",SUM(C73:L73))</f>
        <v/>
      </c>
      <c r="N73" s="50">
        <f>IF(M73="","",M73/100)</f>
        <v/>
      </c>
      <c r="O73" s="51">
        <f>IF(M73="","",IF(M73&lt;50,"ضعيف",IF(M73&lt;75,"متوسط","ممتاز")))</f>
        <v/>
      </c>
    </row>
    <row r="74" ht="18" customHeight="1">
      <c r="A74" s="30" t="n">
        <v>69</v>
      </c>
      <c r="B74" s="31">
        <f>'قاعدة الأسماء'!B73</f>
        <v/>
      </c>
      <c r="C74" s="32" t="n">
        <v>7</v>
      </c>
      <c r="D74" s="32" t="n">
        <v>6</v>
      </c>
      <c r="E74" s="32" t="n">
        <v>6</v>
      </c>
      <c r="F74" s="32" t="n">
        <v>5</v>
      </c>
      <c r="G74" s="32" t="n">
        <v>6</v>
      </c>
      <c r="H74" s="32" t="n">
        <v>6</v>
      </c>
      <c r="I74" s="32" t="n">
        <v>7</v>
      </c>
      <c r="J74" s="32" t="n">
        <v>5</v>
      </c>
      <c r="K74" s="32" t="n">
        <v>5</v>
      </c>
      <c r="L74" s="32" t="n">
        <v>7</v>
      </c>
      <c r="M74" s="43">
        <f>IF(COUNT(C74:L74)=0,"",SUM(C74:L74))</f>
        <v/>
      </c>
      <c r="N74" s="44">
        <f>IF(M74="","",M74/100)</f>
        <v/>
      </c>
      <c r="O74" s="45">
        <f>IF(M74="","",IF(M74&lt;50,"ضعيف",IF(M74&lt;75,"متوسط","ممتاز")))</f>
        <v/>
      </c>
    </row>
    <row r="75" ht="18" customHeight="1">
      <c r="A75" s="46" t="n">
        <v>70</v>
      </c>
      <c r="B75" s="47">
        <f>'قاعدة الأسماء'!B74</f>
        <v/>
      </c>
      <c r="C75" s="48" t="n">
        <v>6</v>
      </c>
      <c r="D75" s="48" t="n">
        <v>6</v>
      </c>
      <c r="E75" s="48" t="n">
        <v>4</v>
      </c>
      <c r="F75" s="48" t="n">
        <v>6</v>
      </c>
      <c r="G75" s="48" t="n">
        <v>6</v>
      </c>
      <c r="H75" s="48" t="n">
        <v>6</v>
      </c>
      <c r="I75" s="48" t="n">
        <v>5</v>
      </c>
      <c r="J75" s="48" t="n">
        <v>6</v>
      </c>
      <c r="K75" s="48" t="n">
        <v>5</v>
      </c>
      <c r="L75" s="48" t="n">
        <v>5</v>
      </c>
      <c r="M75" s="49">
        <f>IF(COUNT(C75:L75)=0,"",SUM(C75:L75))</f>
        <v/>
      </c>
      <c r="N75" s="50">
        <f>IF(M75="","",M75/100)</f>
        <v/>
      </c>
      <c r="O75" s="51">
        <f>IF(M75="","",IF(M75&lt;50,"ضعيف",IF(M75&lt;75,"متوسط","ممتاز")))</f>
        <v/>
      </c>
    </row>
    <row r="76" ht="18" customHeight="1">
      <c r="A76" s="30" t="n">
        <v>71</v>
      </c>
      <c r="B76" s="31">
        <f>'قاعدة الأسماء'!B75</f>
        <v/>
      </c>
      <c r="C76" s="32" t="n">
        <v>7</v>
      </c>
      <c r="D76" s="32" t="n">
        <v>7</v>
      </c>
      <c r="E76" s="32" t="n">
        <v>6</v>
      </c>
      <c r="F76" s="32" t="n">
        <v>6</v>
      </c>
      <c r="G76" s="32" t="n">
        <v>7</v>
      </c>
      <c r="H76" s="32" t="n">
        <v>6</v>
      </c>
      <c r="I76" s="32" t="n">
        <v>7</v>
      </c>
      <c r="J76" s="32" t="n">
        <v>7</v>
      </c>
      <c r="K76" s="32" t="n">
        <v>7</v>
      </c>
      <c r="L76" s="32" t="n">
        <v>7</v>
      </c>
      <c r="M76" s="43">
        <f>IF(COUNT(C76:L76)=0,"",SUM(C76:L76))</f>
        <v/>
      </c>
      <c r="N76" s="44">
        <f>IF(M76="","",M76/100)</f>
        <v/>
      </c>
      <c r="O76" s="45">
        <f>IF(M76="","",IF(M76&lt;50,"ضعيف",IF(M76&lt;75,"متوسط","ممتاز")))</f>
        <v/>
      </c>
    </row>
    <row r="77" ht="18" customHeight="1">
      <c r="A77" s="46" t="n">
        <v>72</v>
      </c>
      <c r="B77" s="47">
        <f>'قاعدة الأسماء'!B76</f>
        <v/>
      </c>
      <c r="C77" s="48" t="n">
        <v>7</v>
      </c>
      <c r="D77" s="48" t="n">
        <v>8</v>
      </c>
      <c r="E77" s="48" t="n">
        <v>6</v>
      </c>
      <c r="F77" s="48" t="n">
        <v>6</v>
      </c>
      <c r="G77" s="48" t="n">
        <v>7</v>
      </c>
      <c r="H77" s="48" t="n">
        <v>7</v>
      </c>
      <c r="I77" s="48" t="n">
        <v>7</v>
      </c>
      <c r="J77" s="48" t="n">
        <v>7</v>
      </c>
      <c r="K77" s="48" t="n">
        <v>7</v>
      </c>
      <c r="L77" s="48" t="n">
        <v>8</v>
      </c>
      <c r="M77" s="49">
        <f>IF(COUNT(C77:L77)=0,"",SUM(C77:L77))</f>
        <v/>
      </c>
      <c r="N77" s="50">
        <f>IF(M77="","",M77/100)</f>
        <v/>
      </c>
      <c r="O77" s="51">
        <f>IF(M77="","",IF(M77&lt;50,"ضعيف",IF(M77&lt;75,"متوسط","ممتاز")))</f>
        <v/>
      </c>
    </row>
    <row r="78" ht="18" customHeight="1">
      <c r="A78" s="30" t="n">
        <v>73</v>
      </c>
      <c r="B78" s="31">
        <f>'قاعدة الأسماء'!B77</f>
        <v/>
      </c>
      <c r="C78" s="32" t="n">
        <v>7</v>
      </c>
      <c r="D78" s="32" t="n">
        <v>6</v>
      </c>
      <c r="E78" s="32" t="n">
        <v>6</v>
      </c>
      <c r="F78" s="32" t="n">
        <v>6</v>
      </c>
      <c r="G78" s="32" t="n">
        <v>6</v>
      </c>
      <c r="H78" s="32" t="n">
        <v>6</v>
      </c>
      <c r="I78" s="32" t="n">
        <v>8</v>
      </c>
      <c r="J78" s="32" t="n">
        <v>6</v>
      </c>
      <c r="K78" s="32" t="n">
        <v>7</v>
      </c>
      <c r="L78" s="32" t="n">
        <v>6</v>
      </c>
      <c r="M78" s="43">
        <f>IF(COUNT(C78:L78)=0,"",SUM(C78:L78))</f>
        <v/>
      </c>
      <c r="N78" s="44">
        <f>IF(M78="","",M78/100)</f>
        <v/>
      </c>
      <c r="O78" s="45">
        <f>IF(M78="","",IF(M78&lt;50,"ضعيف",IF(M78&lt;75,"متوسط","ممتاز")))</f>
        <v/>
      </c>
    </row>
    <row r="79" ht="18" customHeight="1">
      <c r="A79" s="46" t="n">
        <v>74</v>
      </c>
      <c r="B79" s="47">
        <f>'قاعدة الأسماء'!B78</f>
        <v/>
      </c>
      <c r="C79" s="48" t="n">
        <v>7</v>
      </c>
      <c r="D79" s="48" t="n">
        <v>7</v>
      </c>
      <c r="E79" s="48" t="n">
        <v>6</v>
      </c>
      <c r="F79" s="48" t="n">
        <v>6</v>
      </c>
      <c r="G79" s="48" t="n">
        <v>8</v>
      </c>
      <c r="H79" s="48" t="n">
        <v>6</v>
      </c>
      <c r="I79" s="48" t="n">
        <v>8</v>
      </c>
      <c r="J79" s="48" t="n">
        <v>6</v>
      </c>
      <c r="K79" s="48" t="n">
        <v>6</v>
      </c>
      <c r="L79" s="48" t="n">
        <v>7</v>
      </c>
      <c r="M79" s="49">
        <f>IF(COUNT(C79:L79)=0,"",SUM(C79:L79))</f>
        <v/>
      </c>
      <c r="N79" s="50">
        <f>IF(M79="","",M79/100)</f>
        <v/>
      </c>
      <c r="O79" s="51">
        <f>IF(M79="","",IF(M79&lt;50,"ضعيف",IF(M79&lt;75,"متوسط","ممتاز")))</f>
        <v/>
      </c>
    </row>
    <row r="80" ht="18" customHeight="1">
      <c r="A80" s="30" t="n">
        <v>75</v>
      </c>
      <c r="B80" s="31">
        <f>'قاعدة الأسماء'!B79</f>
        <v/>
      </c>
      <c r="C80" s="32" t="n">
        <v>6</v>
      </c>
      <c r="D80" s="32" t="n">
        <v>5</v>
      </c>
      <c r="E80" s="32" t="n">
        <v>5</v>
      </c>
      <c r="F80" s="32" t="n">
        <v>4</v>
      </c>
      <c r="G80" s="32" t="n">
        <v>5</v>
      </c>
      <c r="H80" s="32" t="n">
        <v>5</v>
      </c>
      <c r="I80" s="32" t="n">
        <v>7</v>
      </c>
      <c r="J80" s="32" t="n">
        <v>6</v>
      </c>
      <c r="K80" s="32" t="n">
        <v>5</v>
      </c>
      <c r="L80" s="32" t="n">
        <v>6</v>
      </c>
      <c r="M80" s="43">
        <f>IF(COUNT(C80:L80)=0,"",SUM(C80:L80))</f>
        <v/>
      </c>
      <c r="N80" s="44">
        <f>IF(M80="","",M80/100)</f>
        <v/>
      </c>
      <c r="O80" s="45">
        <f>IF(M80="","",IF(M80&lt;50,"ضعيف",IF(M80&lt;75,"متوسط","ممتاز")))</f>
        <v/>
      </c>
    </row>
    <row r="81" ht="18" customHeight="1">
      <c r="A81" s="46" t="n">
        <v>76</v>
      </c>
      <c r="B81" s="47">
        <f>'قاعدة الأسماء'!B80</f>
        <v/>
      </c>
      <c r="C81" s="48" t="n">
        <v>4</v>
      </c>
      <c r="D81" s="48" t="n">
        <v>4</v>
      </c>
      <c r="E81" s="48" t="n">
        <v>3</v>
      </c>
      <c r="F81" s="48" t="n">
        <v>3</v>
      </c>
      <c r="G81" s="48" t="n">
        <v>4</v>
      </c>
      <c r="H81" s="48" t="n">
        <v>3</v>
      </c>
      <c r="I81" s="48" t="n">
        <v>4</v>
      </c>
      <c r="J81" s="48" t="n">
        <v>4</v>
      </c>
      <c r="K81" s="48" t="n">
        <v>4</v>
      </c>
      <c r="L81" s="48" t="n">
        <v>4</v>
      </c>
      <c r="M81" s="49">
        <f>IF(COUNT(C81:L81)=0,"",SUM(C81:L81))</f>
        <v/>
      </c>
      <c r="N81" s="50">
        <f>IF(M81="","",M81/100)</f>
        <v/>
      </c>
      <c r="O81" s="51">
        <f>IF(M81="","",IF(M81&lt;50,"ضعيف",IF(M81&lt;75,"متوسط","ممتاز")))</f>
        <v/>
      </c>
    </row>
    <row r="82" ht="18" customHeight="1">
      <c r="A82" s="30" t="n">
        <v>77</v>
      </c>
      <c r="B82" s="31">
        <f>'قاعدة الأسماء'!B81</f>
        <v/>
      </c>
      <c r="C82" s="32" t="n">
        <v>6</v>
      </c>
      <c r="D82" s="32" t="n">
        <v>5</v>
      </c>
      <c r="E82" s="32" t="n">
        <v>4</v>
      </c>
      <c r="F82" s="32" t="n">
        <v>5</v>
      </c>
      <c r="G82" s="32" t="n">
        <v>6</v>
      </c>
      <c r="H82" s="32" t="n">
        <v>5</v>
      </c>
      <c r="I82" s="32" t="n">
        <v>6</v>
      </c>
      <c r="J82" s="32" t="n">
        <v>4</v>
      </c>
      <c r="K82" s="32" t="n">
        <v>4</v>
      </c>
      <c r="L82" s="32" t="n">
        <v>5</v>
      </c>
      <c r="M82" s="43">
        <f>IF(COUNT(C82:L82)=0,"",SUM(C82:L82))</f>
        <v/>
      </c>
      <c r="N82" s="44">
        <f>IF(M82="","",M82/100)</f>
        <v/>
      </c>
      <c r="O82" s="45">
        <f>IF(M82="","",IF(M82&lt;50,"ضعيف",IF(M82&lt;75,"متوسط","ممتاز")))</f>
        <v/>
      </c>
    </row>
    <row r="83" ht="18" customHeight="1">
      <c r="A83" s="46" t="n">
        <v>78</v>
      </c>
      <c r="B83" s="47">
        <f>'قاعدة الأسماء'!B82</f>
        <v/>
      </c>
      <c r="C83" s="48" t="n">
        <v>5</v>
      </c>
      <c r="D83" s="48" t="n">
        <v>4</v>
      </c>
      <c r="E83" s="48" t="n">
        <v>5</v>
      </c>
      <c r="F83" s="48" t="n">
        <v>4</v>
      </c>
      <c r="G83" s="48" t="n">
        <v>5</v>
      </c>
      <c r="H83" s="48" t="n">
        <v>4</v>
      </c>
      <c r="I83" s="48" t="n">
        <v>5</v>
      </c>
      <c r="J83" s="48" t="n">
        <v>5</v>
      </c>
      <c r="K83" s="48" t="n">
        <v>5</v>
      </c>
      <c r="L83" s="48" t="n">
        <v>4</v>
      </c>
      <c r="M83" s="49">
        <f>IF(COUNT(C83:L83)=0,"",SUM(C83:L83))</f>
        <v/>
      </c>
      <c r="N83" s="50">
        <f>IF(M83="","",M83/100)</f>
        <v/>
      </c>
      <c r="O83" s="51">
        <f>IF(M83="","",IF(M83&lt;50,"ضعيف",IF(M83&lt;75,"متوسط","ممتاز")))</f>
        <v/>
      </c>
    </row>
    <row r="84" ht="18" customHeight="1">
      <c r="A84" s="30" t="n">
        <v>79</v>
      </c>
      <c r="B84" s="31">
        <f>'قاعدة الأسماء'!B83</f>
        <v/>
      </c>
      <c r="C84" s="32" t="n">
        <v>5</v>
      </c>
      <c r="D84" s="32" t="n">
        <v>4</v>
      </c>
      <c r="E84" s="32" t="n">
        <v>4</v>
      </c>
      <c r="F84" s="32" t="n">
        <v>4</v>
      </c>
      <c r="G84" s="32" t="n">
        <v>5</v>
      </c>
      <c r="H84" s="32" t="n">
        <v>4</v>
      </c>
      <c r="I84" s="32" t="n">
        <v>5</v>
      </c>
      <c r="J84" s="32" t="n">
        <v>4</v>
      </c>
      <c r="K84" s="32" t="n">
        <v>4</v>
      </c>
      <c r="L84" s="32" t="n">
        <v>5</v>
      </c>
      <c r="M84" s="43">
        <f>IF(COUNT(C84:L84)=0,"",SUM(C84:L84))</f>
        <v/>
      </c>
      <c r="N84" s="44">
        <f>IF(M84="","",M84/100)</f>
        <v/>
      </c>
      <c r="O84" s="45">
        <f>IF(M84="","",IF(M84&lt;50,"ضعيف",IF(M84&lt;75,"متوسط","ممتاز")))</f>
        <v/>
      </c>
    </row>
    <row r="85" ht="18" customHeight="1">
      <c r="A85" s="46" t="n">
        <v>80</v>
      </c>
      <c r="B85" s="47">
        <f>'قاعدة الأسماء'!B84</f>
        <v/>
      </c>
      <c r="C85" s="48" t="n">
        <v>5</v>
      </c>
      <c r="D85" s="48" t="n">
        <v>4</v>
      </c>
      <c r="E85" s="48" t="n">
        <v>4</v>
      </c>
      <c r="F85" s="48" t="n">
        <v>4</v>
      </c>
      <c r="G85" s="48" t="n">
        <v>4</v>
      </c>
      <c r="H85" s="48" t="n">
        <v>4</v>
      </c>
      <c r="I85" s="48" t="n">
        <v>4</v>
      </c>
      <c r="J85" s="48" t="n">
        <v>4</v>
      </c>
      <c r="K85" s="48" t="n">
        <v>4</v>
      </c>
      <c r="L85" s="48" t="n">
        <v>4</v>
      </c>
      <c r="M85" s="49">
        <f>IF(COUNT(C85:L85)=0,"",SUM(C85:L85))</f>
        <v/>
      </c>
      <c r="N85" s="50">
        <f>IF(M85="","",M85/100)</f>
        <v/>
      </c>
      <c r="O85" s="51">
        <f>IF(M85="","",IF(M85&lt;50,"ضعيف",IF(M85&lt;75,"متوسط","ممتاز")))</f>
        <v/>
      </c>
    </row>
    <row r="86" ht="18" customHeight="1">
      <c r="A86" s="30" t="n">
        <v>81</v>
      </c>
      <c r="B86" s="31">
        <f>'قاعدة الأسماء'!B85</f>
        <v/>
      </c>
      <c r="C86" s="32" t="n">
        <v>4</v>
      </c>
      <c r="D86" s="32" t="n">
        <v>5</v>
      </c>
      <c r="E86" s="32" t="n">
        <v>3</v>
      </c>
      <c r="F86" s="32" t="n">
        <v>4</v>
      </c>
      <c r="G86" s="32" t="n">
        <v>5</v>
      </c>
      <c r="H86" s="32" t="n">
        <v>3</v>
      </c>
      <c r="I86" s="32" t="n">
        <v>5</v>
      </c>
      <c r="J86" s="32" t="n">
        <v>5</v>
      </c>
      <c r="K86" s="32" t="n">
        <v>4</v>
      </c>
      <c r="L86" s="32" t="n">
        <v>5</v>
      </c>
      <c r="M86" s="43">
        <f>IF(COUNT(C86:L86)=0,"",SUM(C86:L86))</f>
        <v/>
      </c>
      <c r="N86" s="44">
        <f>IF(M86="","",M86/100)</f>
        <v/>
      </c>
      <c r="O86" s="45">
        <f>IF(M86="","",IF(M86&lt;50,"ضعيف",IF(M86&lt;75,"متوسط","ممتاز")))</f>
        <v/>
      </c>
    </row>
    <row r="87" ht="18" customHeight="1">
      <c r="A87" s="46" t="n">
        <v>82</v>
      </c>
      <c r="B87" s="47">
        <f>'قاعدة الأسماء'!B86</f>
        <v/>
      </c>
      <c r="C87" s="48" t="n">
        <v>5</v>
      </c>
      <c r="D87" s="48" t="n">
        <v>5</v>
      </c>
      <c r="E87" s="48" t="n">
        <v>3</v>
      </c>
      <c r="F87" s="48" t="n">
        <v>3</v>
      </c>
      <c r="G87" s="48" t="n">
        <v>5</v>
      </c>
      <c r="H87" s="48" t="n">
        <v>4</v>
      </c>
      <c r="I87" s="48" t="n">
        <v>4</v>
      </c>
      <c r="J87" s="48" t="n">
        <v>3</v>
      </c>
      <c r="K87" s="48" t="n">
        <v>4</v>
      </c>
      <c r="L87" s="48" t="n">
        <v>4</v>
      </c>
      <c r="M87" s="49">
        <f>IF(COUNT(C87:L87)=0,"",SUM(C87:L87))</f>
        <v/>
      </c>
      <c r="N87" s="50">
        <f>IF(M87="","",M87/100)</f>
        <v/>
      </c>
      <c r="O87" s="51">
        <f>IF(M87="","",IF(M87&lt;50,"ضعيف",IF(M87&lt;75,"متوسط","ممتاز")))</f>
        <v/>
      </c>
    </row>
    <row r="88" ht="18" customHeight="1">
      <c r="A88" s="30" t="n">
        <v>83</v>
      </c>
      <c r="B88" s="31">
        <f>'قاعدة الأسماء'!B87</f>
        <v/>
      </c>
      <c r="C88" s="32" t="n">
        <v>6</v>
      </c>
      <c r="D88" s="32" t="n">
        <v>5</v>
      </c>
      <c r="E88" s="32" t="n">
        <v>4</v>
      </c>
      <c r="F88" s="32" t="n">
        <v>4</v>
      </c>
      <c r="G88" s="32" t="n">
        <v>5</v>
      </c>
      <c r="H88" s="32" t="n">
        <v>5</v>
      </c>
      <c r="I88" s="32" t="n">
        <v>5</v>
      </c>
      <c r="J88" s="32" t="n">
        <v>4</v>
      </c>
      <c r="K88" s="32" t="n">
        <v>4</v>
      </c>
      <c r="L88" s="32" t="n">
        <v>5</v>
      </c>
      <c r="M88" s="43">
        <f>IF(COUNT(C88:L88)=0,"",SUM(C88:L88))</f>
        <v/>
      </c>
      <c r="N88" s="44">
        <f>IF(M88="","",M88/100)</f>
        <v/>
      </c>
      <c r="O88" s="45">
        <f>IF(M88="","",IF(M88&lt;50,"ضعيف",IF(M88&lt;75,"متوسط","ممتاز")))</f>
        <v/>
      </c>
    </row>
    <row r="89" ht="18" customHeight="1">
      <c r="A89" s="46" t="n">
        <v>84</v>
      </c>
      <c r="B89" s="47">
        <f>'قاعدة الأسماء'!B88</f>
        <v/>
      </c>
      <c r="C89" s="48" t="n">
        <v>4</v>
      </c>
      <c r="D89" s="48" t="n">
        <v>4</v>
      </c>
      <c r="E89" s="48" t="n">
        <v>3</v>
      </c>
      <c r="F89" s="48" t="n">
        <v>4</v>
      </c>
      <c r="G89" s="48" t="n">
        <v>5</v>
      </c>
      <c r="H89" s="48" t="n">
        <v>5</v>
      </c>
      <c r="I89" s="48" t="n">
        <v>4</v>
      </c>
      <c r="J89" s="48" t="n">
        <v>5</v>
      </c>
      <c r="K89" s="48" t="n">
        <v>4</v>
      </c>
      <c r="L89" s="48" t="n">
        <v>4</v>
      </c>
      <c r="M89" s="49">
        <f>IF(COUNT(C89:L89)=0,"",SUM(C89:L89))</f>
        <v/>
      </c>
      <c r="N89" s="50">
        <f>IF(M89="","",M89/100)</f>
        <v/>
      </c>
      <c r="O89" s="51">
        <f>IF(M89="","",IF(M89&lt;50,"ضعيف",IF(M89&lt;75,"متوسط","ممتاز")))</f>
        <v/>
      </c>
    </row>
    <row r="90" ht="18" customHeight="1">
      <c r="A90" s="30" t="n">
        <v>85</v>
      </c>
      <c r="B90" s="31">
        <f>'قاعدة الأسماء'!B89</f>
        <v/>
      </c>
      <c r="C90" s="32" t="n">
        <v>5</v>
      </c>
      <c r="D90" s="32" t="n">
        <v>5</v>
      </c>
      <c r="E90" s="32" t="n">
        <v>3</v>
      </c>
      <c r="F90" s="32" t="n">
        <v>4</v>
      </c>
      <c r="G90" s="32" t="n">
        <v>6</v>
      </c>
      <c r="H90" s="32" t="n">
        <v>4</v>
      </c>
      <c r="I90" s="32" t="n">
        <v>5</v>
      </c>
      <c r="J90" s="32" t="n">
        <v>4</v>
      </c>
      <c r="K90" s="32" t="n">
        <v>4</v>
      </c>
      <c r="L90" s="32" t="n">
        <v>5</v>
      </c>
      <c r="M90" s="43">
        <f>IF(COUNT(C90:L90)=0,"",SUM(C90:L90))</f>
        <v/>
      </c>
      <c r="N90" s="44">
        <f>IF(M90="","",M90/100)</f>
        <v/>
      </c>
      <c r="O90" s="45">
        <f>IF(M90="","",IF(M90&lt;50,"ضعيف",IF(M90&lt;75,"متوسط","ممتاز")))</f>
        <v/>
      </c>
    </row>
    <row r="91" ht="18" customHeight="1">
      <c r="A91" s="46" t="n">
        <v>86</v>
      </c>
      <c r="B91" s="47">
        <f>'قاعدة الأسماء'!B90</f>
        <v/>
      </c>
      <c r="C91" s="48" t="n">
        <v>5</v>
      </c>
      <c r="D91" s="48" t="n">
        <v>4</v>
      </c>
      <c r="E91" s="48" t="n">
        <v>4</v>
      </c>
      <c r="F91" s="48" t="n">
        <v>4</v>
      </c>
      <c r="G91" s="48" t="n">
        <v>4</v>
      </c>
      <c r="H91" s="48" t="n">
        <v>4</v>
      </c>
      <c r="I91" s="48" t="n">
        <v>5</v>
      </c>
      <c r="J91" s="48" t="n">
        <v>4</v>
      </c>
      <c r="K91" s="48" t="n">
        <v>3</v>
      </c>
      <c r="L91" s="48" t="n">
        <v>4</v>
      </c>
      <c r="M91" s="49">
        <f>IF(COUNT(C91:L91)=0,"",SUM(C91:L91))</f>
        <v/>
      </c>
      <c r="N91" s="50">
        <f>IF(M91="","",M91/100)</f>
        <v/>
      </c>
      <c r="O91" s="51">
        <f>IF(M91="","",IF(M91&lt;50,"ضعيف",IF(M91&lt;75,"متوسط","ممتاز")))</f>
        <v/>
      </c>
    </row>
    <row r="92" ht="18" customHeight="1">
      <c r="A92" s="30" t="n">
        <v>87</v>
      </c>
      <c r="B92" s="31">
        <f>'قاعدة الأسماء'!B91</f>
        <v/>
      </c>
      <c r="C92" s="32" t="n">
        <v>4</v>
      </c>
      <c r="D92" s="32" t="n">
        <v>5</v>
      </c>
      <c r="E92" s="32" t="n">
        <v>3</v>
      </c>
      <c r="F92" s="32" t="n">
        <v>4</v>
      </c>
      <c r="G92" s="32" t="n">
        <v>4</v>
      </c>
      <c r="H92" s="32" t="n">
        <v>3</v>
      </c>
      <c r="I92" s="32" t="n">
        <v>4</v>
      </c>
      <c r="J92" s="32" t="n">
        <v>4</v>
      </c>
      <c r="K92" s="32" t="n">
        <v>4</v>
      </c>
      <c r="L92" s="32" t="n">
        <v>4</v>
      </c>
      <c r="M92" s="43">
        <f>IF(COUNT(C92:L92)=0,"",SUM(C92:L92))</f>
        <v/>
      </c>
      <c r="N92" s="44">
        <f>IF(M92="","",M92/100)</f>
        <v/>
      </c>
      <c r="O92" s="45">
        <f>IF(M92="","",IF(M92&lt;50,"ضعيف",IF(M92&lt;75,"متوسط","ممتاز")))</f>
        <v/>
      </c>
    </row>
    <row r="93" ht="18" customHeight="1">
      <c r="A93" s="46" t="n">
        <v>88</v>
      </c>
      <c r="B93" s="47">
        <f>'قاعدة الأسماء'!B92</f>
        <v/>
      </c>
      <c r="C93" s="48" t="n">
        <v>5</v>
      </c>
      <c r="D93" s="48" t="n">
        <v>4</v>
      </c>
      <c r="E93" s="48" t="n">
        <v>4</v>
      </c>
      <c r="F93" s="48" t="n">
        <v>4</v>
      </c>
      <c r="G93" s="48" t="n">
        <v>4</v>
      </c>
      <c r="H93" s="48" t="n">
        <v>4</v>
      </c>
      <c r="I93" s="48" t="n">
        <v>4</v>
      </c>
      <c r="J93" s="48" t="n">
        <v>4</v>
      </c>
      <c r="K93" s="48" t="n">
        <v>3</v>
      </c>
      <c r="L93" s="48" t="n">
        <v>4</v>
      </c>
      <c r="M93" s="49">
        <f>IF(COUNT(C93:L93)=0,"",SUM(C93:L93))</f>
        <v/>
      </c>
      <c r="N93" s="50">
        <f>IF(M93="","",M93/100)</f>
        <v/>
      </c>
      <c r="O93" s="51">
        <f>IF(M93="","",IF(M93&lt;50,"ضعيف",IF(M93&lt;75,"متوسط","ممتاز")))</f>
        <v/>
      </c>
    </row>
    <row r="94" ht="18" customHeight="1">
      <c r="A94" s="30" t="n">
        <v>89</v>
      </c>
      <c r="B94" s="31">
        <f>'قاعدة الأسماء'!B93</f>
        <v/>
      </c>
      <c r="C94" s="32" t="n">
        <v>5</v>
      </c>
      <c r="D94" s="32" t="n">
        <v>5</v>
      </c>
      <c r="E94" s="32" t="n">
        <v>3</v>
      </c>
      <c r="F94" s="32" t="n">
        <v>3</v>
      </c>
      <c r="G94" s="32" t="n">
        <v>5</v>
      </c>
      <c r="H94" s="32" t="n">
        <v>4</v>
      </c>
      <c r="I94" s="32" t="n">
        <v>6</v>
      </c>
      <c r="J94" s="32" t="n">
        <v>4</v>
      </c>
      <c r="K94" s="32" t="n">
        <v>4</v>
      </c>
      <c r="L94" s="32" t="n">
        <v>4</v>
      </c>
      <c r="M94" s="43">
        <f>IF(COUNT(C94:L94)=0,"",SUM(C94:L94))</f>
        <v/>
      </c>
      <c r="N94" s="44">
        <f>IF(M94="","",M94/100)</f>
        <v/>
      </c>
      <c r="O94" s="45">
        <f>IF(M94="","",IF(M94&lt;50,"ضعيف",IF(M94&lt;75,"متوسط","ممتاز")))</f>
        <v/>
      </c>
    </row>
    <row r="95" ht="18" customHeight="1">
      <c r="A95" s="46" t="n">
        <v>90</v>
      </c>
      <c r="B95" s="47">
        <f>'قاعدة الأسماء'!B94</f>
        <v/>
      </c>
      <c r="C95" s="48" t="n">
        <v>5</v>
      </c>
      <c r="D95" s="48" t="n">
        <v>5</v>
      </c>
      <c r="E95" s="48" t="n">
        <v>4</v>
      </c>
      <c r="F95" s="48" t="n">
        <v>4</v>
      </c>
      <c r="G95" s="48" t="n">
        <v>4</v>
      </c>
      <c r="H95" s="48" t="n">
        <v>4</v>
      </c>
      <c r="I95" s="48" t="n">
        <v>5</v>
      </c>
      <c r="J95" s="48" t="n">
        <v>4</v>
      </c>
      <c r="K95" s="48" t="n">
        <v>3</v>
      </c>
      <c r="L95" s="48" t="n">
        <v>4</v>
      </c>
      <c r="M95" s="49">
        <f>IF(COUNT(C95:L95)=0,"",SUM(C95:L95))</f>
        <v/>
      </c>
      <c r="N95" s="50">
        <f>IF(M95="","",M95/100)</f>
        <v/>
      </c>
      <c r="O95" s="51">
        <f>IF(M95="","",IF(M95&lt;50,"ضعيف",IF(M95&lt;75,"متوسط","ممتاز")))</f>
        <v/>
      </c>
    </row>
    <row r="96" ht="18" customHeight="1">
      <c r="A96" s="30" t="n">
        <v>91</v>
      </c>
      <c r="B96" s="31">
        <f>'قاعدة الأسماء'!B95</f>
        <v/>
      </c>
      <c r="C96" s="32" t="n">
        <v>5</v>
      </c>
      <c r="D96" s="32" t="n">
        <v>5</v>
      </c>
      <c r="E96" s="32" t="n">
        <v>4</v>
      </c>
      <c r="F96" s="32" t="n">
        <v>4</v>
      </c>
      <c r="G96" s="32" t="n">
        <v>5</v>
      </c>
      <c r="H96" s="32" t="n">
        <v>4</v>
      </c>
      <c r="I96" s="32" t="n">
        <v>6</v>
      </c>
      <c r="J96" s="32" t="n">
        <v>5</v>
      </c>
      <c r="K96" s="32" t="n">
        <v>4</v>
      </c>
      <c r="L96" s="32" t="n">
        <v>5</v>
      </c>
      <c r="M96" s="43">
        <f>IF(COUNT(C96:L96)=0,"",SUM(C96:L96))</f>
        <v/>
      </c>
      <c r="N96" s="44">
        <f>IF(M96="","",M96/100)</f>
        <v/>
      </c>
      <c r="O96" s="45">
        <f>IF(M96="","",IF(M96&lt;50,"ضعيف",IF(M96&lt;75,"متوسط","ممتاز")))</f>
        <v/>
      </c>
    </row>
    <row r="97" ht="18" customHeight="1">
      <c r="A97" s="46" t="n">
        <v>92</v>
      </c>
      <c r="B97" s="47">
        <f>'قاعدة الأسماء'!B96</f>
        <v/>
      </c>
      <c r="C97" s="48" t="n">
        <v>4</v>
      </c>
      <c r="D97" s="48" t="n">
        <v>5</v>
      </c>
      <c r="E97" s="48" t="n">
        <v>3</v>
      </c>
      <c r="F97" s="48" t="n">
        <v>3</v>
      </c>
      <c r="G97" s="48" t="n">
        <v>4</v>
      </c>
      <c r="H97" s="48" t="n">
        <v>4</v>
      </c>
      <c r="I97" s="48" t="n">
        <v>5</v>
      </c>
      <c r="J97" s="48" t="n">
        <v>3</v>
      </c>
      <c r="K97" s="48" t="n">
        <v>5</v>
      </c>
      <c r="L97" s="48" t="n">
        <v>4</v>
      </c>
      <c r="M97" s="49">
        <f>IF(COUNT(C97:L97)=0,"",SUM(C97:L97))</f>
        <v/>
      </c>
      <c r="N97" s="50">
        <f>IF(M97="","",M97/100)</f>
        <v/>
      </c>
      <c r="O97" s="51">
        <f>IF(M97="","",IF(M97&lt;50,"ضعيف",IF(M97&lt;75,"متوسط","ممتاز")))</f>
        <v/>
      </c>
    </row>
    <row r="98" ht="18" customHeight="1">
      <c r="A98" s="30" t="n">
        <v>93</v>
      </c>
      <c r="B98" s="31">
        <f>'قاعدة الأسماء'!B97</f>
        <v/>
      </c>
      <c r="C98" s="32" t="n">
        <v>4</v>
      </c>
      <c r="D98" s="32" t="n">
        <v>5</v>
      </c>
      <c r="E98" s="32" t="n">
        <v>4</v>
      </c>
      <c r="F98" s="32" t="n">
        <v>5</v>
      </c>
      <c r="G98" s="32" t="n">
        <v>5</v>
      </c>
      <c r="H98" s="32" t="n">
        <v>4</v>
      </c>
      <c r="I98" s="32" t="n">
        <v>4</v>
      </c>
      <c r="J98" s="32" t="n">
        <v>5</v>
      </c>
      <c r="K98" s="32" t="n">
        <v>5</v>
      </c>
      <c r="L98" s="32" t="n">
        <v>5</v>
      </c>
      <c r="M98" s="43">
        <f>IF(COUNT(C98:L98)=0,"",SUM(C98:L98))</f>
        <v/>
      </c>
      <c r="N98" s="44">
        <f>IF(M98="","",M98/100)</f>
        <v/>
      </c>
      <c r="O98" s="45">
        <f>IF(M98="","",IF(M98&lt;50,"ضعيف",IF(M98&lt;75,"متوسط","ممتاز")))</f>
        <v/>
      </c>
    </row>
    <row r="99" ht="18" customHeight="1">
      <c r="A99" s="46" t="n">
        <v>94</v>
      </c>
      <c r="B99" s="47">
        <f>'قاعدة الأسماء'!B98</f>
        <v/>
      </c>
      <c r="C99" s="48" t="n">
        <v>4</v>
      </c>
      <c r="D99" s="48" t="n">
        <v>5</v>
      </c>
      <c r="E99" s="48" t="n">
        <v>3</v>
      </c>
      <c r="F99" s="48" t="n">
        <v>4</v>
      </c>
      <c r="G99" s="48" t="n">
        <v>3</v>
      </c>
      <c r="H99" s="48" t="n">
        <v>4</v>
      </c>
      <c r="I99" s="48" t="n">
        <v>4</v>
      </c>
      <c r="J99" s="48" t="n">
        <v>4</v>
      </c>
      <c r="K99" s="48" t="n">
        <v>4</v>
      </c>
      <c r="L99" s="48" t="n">
        <v>4</v>
      </c>
      <c r="M99" s="49">
        <f>IF(COUNT(C99:L99)=0,"",SUM(C99:L99))</f>
        <v/>
      </c>
      <c r="N99" s="50">
        <f>IF(M99="","",M99/100)</f>
        <v/>
      </c>
      <c r="O99" s="51">
        <f>IF(M99="","",IF(M99&lt;50,"ضعيف",IF(M99&lt;75,"متوسط","ممتاز")))</f>
        <v/>
      </c>
    </row>
    <row r="100" ht="18" customHeight="1">
      <c r="A100" s="30" t="n">
        <v>95</v>
      </c>
      <c r="B100" s="31">
        <f>'قاعدة الأسماء'!B99</f>
        <v/>
      </c>
      <c r="C100" s="32" t="n">
        <v>6</v>
      </c>
      <c r="D100" s="32" t="n">
        <v>5</v>
      </c>
      <c r="E100" s="32" t="n">
        <v>4</v>
      </c>
      <c r="F100" s="32" t="n">
        <v>4</v>
      </c>
      <c r="G100" s="32" t="n">
        <v>6</v>
      </c>
      <c r="H100" s="32" t="n">
        <v>5</v>
      </c>
      <c r="I100" s="32" t="n">
        <v>5</v>
      </c>
      <c r="J100" s="32" t="n">
        <v>4</v>
      </c>
      <c r="K100" s="32" t="n">
        <v>4</v>
      </c>
      <c r="L100" s="32" t="n">
        <v>5</v>
      </c>
      <c r="M100" s="43">
        <f>IF(COUNT(C100:L100)=0,"",SUM(C100:L100))</f>
        <v/>
      </c>
      <c r="N100" s="44">
        <f>IF(M100="","",M100/100)</f>
        <v/>
      </c>
      <c r="O100" s="45">
        <f>IF(M100="","",IF(M100&lt;50,"ضعيف",IF(M100&lt;75,"متوسط","ممتاز")))</f>
        <v/>
      </c>
    </row>
    <row r="101" ht="18" customHeight="1">
      <c r="A101" s="46" t="n">
        <v>96</v>
      </c>
      <c r="B101" s="47">
        <f>'قاعدة الأسماء'!B100</f>
        <v/>
      </c>
      <c r="C101" s="48" t="n">
        <v>4</v>
      </c>
      <c r="D101" s="48" t="n">
        <v>5</v>
      </c>
      <c r="E101" s="48" t="n">
        <v>3</v>
      </c>
      <c r="F101" s="48" t="n">
        <v>3</v>
      </c>
      <c r="G101" s="48" t="n">
        <v>4</v>
      </c>
      <c r="H101" s="48" t="n">
        <v>4</v>
      </c>
      <c r="I101" s="48" t="n">
        <v>4</v>
      </c>
      <c r="J101" s="48" t="n">
        <v>3</v>
      </c>
      <c r="K101" s="48" t="n">
        <v>3</v>
      </c>
      <c r="L101" s="48" t="n">
        <v>3</v>
      </c>
      <c r="M101" s="49">
        <f>IF(COUNT(C101:L101)=0,"",SUM(C101:L101))</f>
        <v/>
      </c>
      <c r="N101" s="50">
        <f>IF(M101="","",M101/100)</f>
        <v/>
      </c>
      <c r="O101" s="51">
        <f>IF(M101="","",IF(M101&lt;50,"ضعيف",IF(M101&lt;75,"متوسط","ممتاز")))</f>
        <v/>
      </c>
    </row>
    <row r="102" ht="18" customHeight="1">
      <c r="A102" s="30" t="n">
        <v>97</v>
      </c>
      <c r="B102" s="31">
        <f>'قاعدة الأسماء'!B101</f>
        <v/>
      </c>
      <c r="C102" s="32" t="n">
        <v>4</v>
      </c>
      <c r="D102" s="32" t="n">
        <v>4</v>
      </c>
      <c r="E102" s="32" t="n">
        <v>2</v>
      </c>
      <c r="F102" s="32" t="n">
        <v>3</v>
      </c>
      <c r="G102" s="32" t="n">
        <v>3</v>
      </c>
      <c r="H102" s="32" t="n">
        <v>3</v>
      </c>
      <c r="I102" s="32" t="n">
        <v>4</v>
      </c>
      <c r="J102" s="32" t="n">
        <v>4</v>
      </c>
      <c r="K102" s="32" t="n">
        <v>4</v>
      </c>
      <c r="L102" s="32" t="n">
        <v>4</v>
      </c>
      <c r="M102" s="43">
        <f>IF(COUNT(C102:L102)=0,"",SUM(C102:L102))</f>
        <v/>
      </c>
      <c r="N102" s="44">
        <f>IF(M102="","",M102/100)</f>
        <v/>
      </c>
      <c r="O102" s="45">
        <f>IF(M102="","",IF(M102&lt;50,"ضعيف",IF(M102&lt;75,"متوسط","ممتاز")))</f>
        <v/>
      </c>
    </row>
    <row r="103" ht="18" customHeight="1">
      <c r="A103" s="46" t="n">
        <v>98</v>
      </c>
      <c r="B103" s="47">
        <f>'قاعدة الأسماء'!B102</f>
        <v/>
      </c>
      <c r="C103" s="48" t="n">
        <v>4</v>
      </c>
      <c r="D103" s="48" t="n">
        <v>4</v>
      </c>
      <c r="E103" s="48" t="n">
        <v>2</v>
      </c>
      <c r="F103" s="48" t="n">
        <v>3</v>
      </c>
      <c r="G103" s="48" t="n">
        <v>4</v>
      </c>
      <c r="H103" s="48" t="n">
        <v>4</v>
      </c>
      <c r="I103" s="48" t="n">
        <v>3</v>
      </c>
      <c r="J103" s="48" t="n">
        <v>2</v>
      </c>
      <c r="K103" s="48" t="n">
        <v>3</v>
      </c>
      <c r="L103" s="48" t="n">
        <v>3</v>
      </c>
      <c r="M103" s="49">
        <f>IF(COUNT(C103:L103)=0,"",SUM(C103:L103))</f>
        <v/>
      </c>
      <c r="N103" s="50">
        <f>IF(M103="","",M103/100)</f>
        <v/>
      </c>
      <c r="O103" s="51">
        <f>IF(M103="","",IF(M103&lt;50,"ضعيف",IF(M103&lt;75,"متوسط","ممتاز")))</f>
        <v/>
      </c>
    </row>
    <row r="104" ht="18" customHeight="1">
      <c r="A104" s="30" t="n">
        <v>99</v>
      </c>
      <c r="B104" s="31">
        <f>'قاعدة الأسماء'!B103</f>
        <v/>
      </c>
      <c r="C104" s="32" t="n">
        <v>5</v>
      </c>
      <c r="D104" s="32" t="n">
        <v>4</v>
      </c>
      <c r="E104" s="32" t="n">
        <v>2</v>
      </c>
      <c r="F104" s="32" t="n">
        <v>3</v>
      </c>
      <c r="G104" s="32" t="n">
        <v>3</v>
      </c>
      <c r="H104" s="32" t="n">
        <v>3</v>
      </c>
      <c r="I104" s="32" t="n">
        <v>4</v>
      </c>
      <c r="J104" s="32" t="n">
        <v>3</v>
      </c>
      <c r="K104" s="32" t="n">
        <v>3</v>
      </c>
      <c r="L104" s="32" t="n">
        <v>3</v>
      </c>
      <c r="M104" s="43">
        <f>IF(COUNT(C104:L104)=0,"",SUM(C104:L104))</f>
        <v/>
      </c>
      <c r="N104" s="44">
        <f>IF(M104="","",M104/100)</f>
        <v/>
      </c>
      <c r="O104" s="45">
        <f>IF(M104="","",IF(M104&lt;50,"ضعيف",IF(M104&lt;75,"متوسط","ممتاز")))</f>
        <v/>
      </c>
    </row>
    <row r="107" ht="32" customHeight="1">
      <c r="A107" s="52" t="inlineStr">
        <is>
          <t>تحليل النتائج الفوري والرسوم البيانية – Diagnostic Analytics &amp; Charts</t>
        </is>
      </c>
    </row>
    <row r="109" ht="24" customHeight="1">
      <c r="B109" s="53" t="inlineStr">
        <is>
          <t>المؤشرات العامة</t>
        </is>
      </c>
    </row>
    <row r="110" ht="20" customHeight="1">
      <c r="B110" s="54" t="inlineStr">
        <is>
          <t>متوسط الدرجات</t>
        </is>
      </c>
      <c r="D110" s="55">
        <f>IFERROR(AVERAGE(M6:M104),0)</f>
        <v/>
      </c>
    </row>
    <row r="111" ht="20" customHeight="1">
      <c r="B111" s="54" t="inlineStr">
        <is>
          <t>نسبة النجاح</t>
        </is>
      </c>
      <c r="D111" s="56">
        <f>IFERROR(COUNTIF(O6:O104,"&lt;&gt;ضعيف")/99,0)</f>
        <v/>
      </c>
    </row>
    <row r="112" ht="20" customHeight="1">
      <c r="B112" s="54" t="inlineStr">
        <is>
          <t>أعلى درجة</t>
        </is>
      </c>
      <c r="D112" s="57">
        <f>IFERROR(MAX(M6:M104),0)</f>
        <v/>
      </c>
    </row>
    <row r="113" ht="20" customHeight="1">
      <c r="B113" s="54" t="inlineStr">
        <is>
          <t>أدنى درجة</t>
        </is>
      </c>
      <c r="D113" s="57">
        <f>IFERROR(MIN(M6:M104),0)</f>
        <v/>
      </c>
    </row>
    <row r="115" ht="24" customHeight="1">
      <c r="B115" s="58" t="inlineStr">
        <is>
          <t>توزيع مستويات الطالبات</t>
        </is>
      </c>
    </row>
    <row r="116" ht="20" customHeight="1">
      <c r="B116" s="38" t="inlineStr">
        <is>
          <t>المستوى</t>
        </is>
      </c>
      <c r="C116" s="38" t="inlineStr">
        <is>
          <t>العدد</t>
        </is>
      </c>
      <c r="D116" s="38" t="inlineStr">
        <is>
          <t>النسبة%</t>
        </is>
      </c>
    </row>
    <row r="117" ht="22" customHeight="1">
      <c r="B117" s="59" t="inlineStr">
        <is>
          <t>ممتاز</t>
        </is>
      </c>
      <c r="C117" s="60">
        <f>COUNTIF(O6:O104,"ممتاز")</f>
        <v/>
      </c>
      <c r="D117" s="61">
        <f>C117/99</f>
        <v/>
      </c>
    </row>
    <row r="118" ht="22" customHeight="1">
      <c r="B118" s="62" t="inlineStr">
        <is>
          <t>متوسط</t>
        </is>
      </c>
      <c r="C118" s="60">
        <f>COUNTIF(O6:O104,"متوسط")</f>
        <v/>
      </c>
      <c r="D118" s="61">
        <f>C118/99</f>
        <v/>
      </c>
    </row>
    <row r="119" ht="22" customHeight="1">
      <c r="B119" s="63" t="inlineStr">
        <is>
          <t>ضعيف</t>
        </is>
      </c>
      <c r="C119" s="60">
        <f>COUNTIF(O6:O104,"ضعيف")</f>
        <v/>
      </c>
      <c r="D119" s="61">
        <f>C119/99</f>
        <v/>
      </c>
    </row>
    <row r="121" ht="28" customHeight="1">
      <c r="A121" s="64" t="inlineStr">
        <is>
          <t>مقارنة وتحليل متوسط درجات مهارات نافس العشر</t>
        </is>
      </c>
    </row>
    <row r="123" ht="22" customHeight="1">
      <c r="B123" s="38" t="inlineStr">
        <is>
          <t>المهارة</t>
        </is>
      </c>
      <c r="C123" s="38" t="inlineStr">
        <is>
          <t>المتوسط</t>
        </is>
      </c>
      <c r="D123" s="38" t="inlineStr">
        <is>
          <t>التقييم</t>
        </is>
      </c>
    </row>
    <row r="124" ht="20" customHeight="1">
      <c r="B124" s="65">
        <f>'الواجهة الرئيسية'!B8</f>
        <v/>
      </c>
      <c r="C124" s="66">
        <f>IFERROR(AVERAGE(C6:C104),0)</f>
        <v/>
      </c>
      <c r="D124" s="67">
        <f>IF(C124&gt;=7.5,"نقطة قوة",IF(C124&gt;=5.0,"مستوى متوسط","تحتاج دعم"))</f>
        <v/>
      </c>
    </row>
    <row r="125" ht="20" customHeight="1">
      <c r="B125" s="68">
        <f>'الواجهة الرئيسية'!D8</f>
        <v/>
      </c>
      <c r="C125" s="69">
        <f>IFERROR(AVERAGE(D6:D104),0)</f>
        <v/>
      </c>
      <c r="D125" s="70">
        <f>IF(C125&gt;=7.5,"نقطة قوة",IF(C125&gt;=5.0,"مستوى متوسط","تحتاج دعم"))</f>
        <v/>
      </c>
    </row>
    <row r="126" ht="20" customHeight="1">
      <c r="B126" s="65">
        <f>'الواجهة الرئيسية'!F8</f>
        <v/>
      </c>
      <c r="C126" s="66">
        <f>IFERROR(AVERAGE(E6:E104),0)</f>
        <v/>
      </c>
      <c r="D126" s="67">
        <f>IF(C126&gt;=7.5,"نقطة قوة",IF(C126&gt;=5.0,"مستوى متوسط","تحتاج دعم"))</f>
        <v/>
      </c>
    </row>
    <row r="127" ht="20" customHeight="1">
      <c r="B127" s="68">
        <f>'الواجهة الرئيسية'!H8</f>
        <v/>
      </c>
      <c r="C127" s="69">
        <f>IFERROR(AVERAGE(F6:F104),0)</f>
        <v/>
      </c>
      <c r="D127" s="70">
        <f>IF(C127&gt;=7.5,"نقطة قوة",IF(C127&gt;=5.0,"مستوى متوسط","تحتاج دعم"))</f>
        <v/>
      </c>
    </row>
    <row r="128" ht="20" customHeight="1">
      <c r="B128" s="65">
        <f>'الواجهة الرئيسية'!J8</f>
        <v/>
      </c>
      <c r="C128" s="66">
        <f>IFERROR(AVERAGE(G6:G104),0)</f>
        <v/>
      </c>
      <c r="D128" s="67">
        <f>IF(C128&gt;=7.5,"نقطة قوة",IF(C128&gt;=5.0,"مستوى متوسط","تحتاج دعم"))</f>
        <v/>
      </c>
    </row>
    <row r="129" ht="20" customHeight="1">
      <c r="B129" s="68">
        <f>'الواجهة الرئيسية'!B20</f>
        <v/>
      </c>
      <c r="C129" s="69">
        <f>IFERROR(AVERAGE(H6:H104),0)</f>
        <v/>
      </c>
      <c r="D129" s="70">
        <f>IF(C129&gt;=7.5,"نقطة قوة",IF(C129&gt;=5.0,"مستوى متوسط","تحتاج دعم"))</f>
        <v/>
      </c>
    </row>
    <row r="130" ht="20" customHeight="1">
      <c r="B130" s="65">
        <f>'الواجهة الرئيسية'!D20</f>
        <v/>
      </c>
      <c r="C130" s="66">
        <f>IFERROR(AVERAGE(I6:I104),0)</f>
        <v/>
      </c>
      <c r="D130" s="67">
        <f>IF(C130&gt;=7.5,"نقطة قوة",IF(C130&gt;=5.0,"مستوى متوسط","تحتاج دعم"))</f>
        <v/>
      </c>
    </row>
    <row r="131" ht="20" customHeight="1">
      <c r="B131" s="68">
        <f>'الواجهة الرئيسية'!F20</f>
        <v/>
      </c>
      <c r="C131" s="69">
        <f>IFERROR(AVERAGE(J6:J104),0)</f>
        <v/>
      </c>
      <c r="D131" s="70">
        <f>IF(C131&gt;=7.5,"نقطة قوة",IF(C131&gt;=5.0,"مستوى متوسط","تحتاج دعم"))</f>
        <v/>
      </c>
    </row>
    <row r="132" ht="20" customHeight="1">
      <c r="B132" s="65">
        <f>'الواجهة الرئيسية'!H20</f>
        <v/>
      </c>
      <c r="C132" s="66">
        <f>IFERROR(AVERAGE(K6:K104),0)</f>
        <v/>
      </c>
      <c r="D132" s="67">
        <f>IF(C132&gt;=7.5,"نقطة قوة",IF(C132&gt;=5.0,"مستوى متوسط","تحتاج دعم"))</f>
        <v/>
      </c>
    </row>
    <row r="133" ht="20" customHeight="1">
      <c r="B133" s="68">
        <f>'الواجهة الرئيسية'!J20</f>
        <v/>
      </c>
      <c r="C133" s="69">
        <f>IFERROR(AVERAGE(L6:L104),0)</f>
        <v/>
      </c>
      <c r="D133" s="70">
        <f>IF(C133&gt;=7.5,"نقطة قوة",IF(C133&gt;=5.0,"مستوى متوسط","تحتاج دعم"))</f>
        <v/>
      </c>
    </row>
  </sheetData>
  <mergeCells count="10">
    <mergeCell ref="A2:O2"/>
    <mergeCell ref="A107:O107"/>
    <mergeCell ref="B112:C112"/>
    <mergeCell ref="A121:O121"/>
    <mergeCell ref="B115:D115"/>
    <mergeCell ref="B111:C111"/>
    <mergeCell ref="B110:C110"/>
    <mergeCell ref="B109:D109"/>
    <mergeCell ref="A3:O3"/>
    <mergeCell ref="B113:C113"/>
  </mergeCells>
  <conditionalFormatting sqref="C6:L104">
    <cfRule type="colorScale" priority="1">
      <colorScale>
        <cfvo type="num" val="0"/>
        <cfvo type="num" val="6"/>
        <cfvo type="num" val="10"/>
        <color rgb="00FF6B6B"/>
        <color rgb="00FFE66D"/>
        <color rgb="004ECDC4"/>
      </colorScale>
    </cfRule>
  </conditionalFormatting>
  <conditionalFormatting sqref="O6:O104">
    <cfRule type="expression" priority="2" dxfId="0">
      <formula>=O6="ممتاز"</formula>
    </cfRule>
    <cfRule type="expression" priority="3" dxfId="1">
      <formula>=O6="متوسط"</formula>
    </cfRule>
    <cfRule type="expression" priority="4" dxfId="2">
      <formula>=O6="ضعيف"</formula>
    </cfRule>
  </conditionalFormatting>
  <conditionalFormatting sqref="N6:N104">
    <cfRule type="colorScale" priority="5">
      <colorScale>
        <cfvo type="num" val="0"/>
        <cfvo type="num" val="0.6"/>
        <cfvo type="num" val="1"/>
        <color rgb="00FF6B6B"/>
        <color rgb="00FFE66D"/>
        <color rgb="004ECD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4A261"/>
    <outlinePr summaryBelow="1" summaryRight="1"/>
    <pageSetUpPr/>
  </sheetPr>
  <dimension ref="A2:H103"/>
  <sheetViews>
    <sheetView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22" customWidth="1" min="4" max="4"/>
    <col width="24" customWidth="1" min="5" max="5"/>
    <col width="22" customWidth="1" min="6" max="6"/>
    <col width="22" customWidth="1" min="7" max="7"/>
    <col width="18" customWidth="1" min="8" max="8"/>
  </cols>
  <sheetData>
    <row r="1" ht="10" customHeight="1"/>
    <row r="2" ht="55" customHeight="1">
      <c r="A2" s="71" t="inlineStr">
        <is>
          <t>الخطط العلاجية والإثرائية – القبلي</t>
        </is>
      </c>
    </row>
    <row r="3" ht="30" customHeight="1">
      <c r="A3" s="28" t="inlineStr">
        <is>
          <t>تُنشأ الخطط تلقائياً بناءً على مستوى الطالبة</t>
        </is>
      </c>
    </row>
    <row r="4" ht="30" customHeight="1">
      <c r="A4" s="29" t="inlineStr">
        <is>
          <t>م</t>
        </is>
      </c>
      <c r="B4" s="29" t="inlineStr">
        <is>
          <t>اسم الطالبة</t>
        </is>
      </c>
      <c r="C4" s="29" t="inlineStr">
        <is>
          <t>المستوى</t>
        </is>
      </c>
      <c r="D4" s="29" t="inlineStr">
        <is>
          <t>نوع الخطة</t>
        </is>
      </c>
      <c r="E4" s="29" t="inlineStr">
        <is>
          <t>المهارات المستهدفة</t>
        </is>
      </c>
      <c r="F4" s="29" t="inlineStr">
        <is>
          <t>الأنشطة</t>
        </is>
      </c>
      <c r="G4" s="29" t="inlineStr">
        <is>
          <t>ملاحظات</t>
        </is>
      </c>
      <c r="H4" s="29" t="inlineStr">
        <is>
          <t>تاريخ التنفيذ</t>
        </is>
      </c>
    </row>
    <row r="5" ht="22" customHeight="1">
      <c r="A5" s="30" t="n">
        <v>1</v>
      </c>
      <c r="B5" s="31">
        <f>'قاعدة الأسماء'!B5</f>
        <v/>
      </c>
      <c r="C5" s="45">
        <f>'الاختبار القبلي'!O6</f>
        <v/>
      </c>
      <c r="D5" s="72">
        <f>IF(C5="ضعيف","خطة علاجية",IF(C5="متوسط","خطة تطويرية","خطة إثرائية"))</f>
        <v/>
      </c>
      <c r="E5" s="73">
        <f>IF(C5="ضعيف","تركيز على: " &amp; 'الواجهة الرئيسية'!B8 &amp; " و " &amp; 'الواجهة الرئيسية'!F8,IF(C5="متوسط","تطوير: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" s="73">
        <f>IF(C5="ضعيف","تدريبات مكثفة – نماذج سابقة",IF(C5="متوسط","أنشطة تفاعلية – أوراق عمل","مشاريع بحثية – مسابقات نافس"))</f>
        <v/>
      </c>
      <c r="G5" s="32" t="inlineStr"/>
      <c r="H5" s="32" t="inlineStr"/>
    </row>
    <row r="6" ht="22" customHeight="1">
      <c r="A6" s="46" t="n">
        <v>2</v>
      </c>
      <c r="B6" s="47">
        <f>'قاعدة الأسماء'!B6</f>
        <v/>
      </c>
      <c r="C6" s="51">
        <f>'الاختبار القبلي'!O7</f>
        <v/>
      </c>
      <c r="D6" s="74">
        <f>IF(C6="ضعيف","خطة علاجية",IF(C6="متوسط","خطة تطويرية","خطة إثرائية"))</f>
        <v/>
      </c>
      <c r="E6" s="75">
        <f>IF(C6="ضعيف","تركيز على: " &amp; 'الواجهة الرئيسية'!B8 &amp; " و " &amp; 'الواجهة الرئيسية'!F8,IF(C6="متوسط","تطوير: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" s="75">
        <f>IF(C6="ضعيف","تدريبات مكثفة – نماذج سابقة",IF(C6="متوسط","أنشطة تفاعلية – أوراق عمل","مشاريع بحثية – مسابقات نافس"))</f>
        <v/>
      </c>
      <c r="G6" s="48" t="inlineStr"/>
      <c r="H6" s="48" t="inlineStr"/>
    </row>
    <row r="7" ht="22" customHeight="1">
      <c r="A7" s="30" t="n">
        <v>3</v>
      </c>
      <c r="B7" s="31">
        <f>'قاعدة الأسماء'!B7</f>
        <v/>
      </c>
      <c r="C7" s="45">
        <f>'الاختبار القبلي'!O8</f>
        <v/>
      </c>
      <c r="D7" s="72">
        <f>IF(C7="ضعيف","خطة علاجية",IF(C7="متوسط","خطة تطويرية","خطة إثرائية"))</f>
        <v/>
      </c>
      <c r="E7" s="73">
        <f>IF(C7="ضعيف","تركيز على: " &amp; 'الواجهة الرئيسية'!B8 &amp; " و " &amp; 'الواجهة الرئيسية'!F8,IF(C7="متوسط","تطوير: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" s="73">
        <f>IF(C7="ضعيف","تدريبات مكثفة – نماذج سابقة",IF(C7="متوسط","أنشطة تفاعلية – أوراق عمل","مشاريع بحثية – مسابقات نافس"))</f>
        <v/>
      </c>
      <c r="G7" s="32" t="inlineStr"/>
      <c r="H7" s="32" t="inlineStr"/>
    </row>
    <row r="8" ht="22" customHeight="1">
      <c r="A8" s="46" t="n">
        <v>4</v>
      </c>
      <c r="B8" s="47">
        <f>'قاعدة الأسماء'!B8</f>
        <v/>
      </c>
      <c r="C8" s="51">
        <f>'الاختبار القبلي'!O9</f>
        <v/>
      </c>
      <c r="D8" s="74">
        <f>IF(C8="ضعيف","خطة علاجية",IF(C8="متوسط","خطة تطويرية","خطة إثرائية"))</f>
        <v/>
      </c>
      <c r="E8" s="75">
        <f>IF(C8="ضعيف","تركيز على: " &amp; 'الواجهة الرئيسية'!B8 &amp; " و " &amp; 'الواجهة الرئيسية'!F8,IF(C8="متوسط","تطوير: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" s="75">
        <f>IF(C8="ضعيف","تدريبات مكثفة – نماذج سابقة",IF(C8="متوسط","أنشطة تفاعلية – أوراق عمل","مشاريع بحثية – مسابقات نافس"))</f>
        <v/>
      </c>
      <c r="G8" s="48" t="inlineStr"/>
      <c r="H8" s="48" t="inlineStr"/>
    </row>
    <row r="9" ht="22" customHeight="1">
      <c r="A9" s="30" t="n">
        <v>5</v>
      </c>
      <c r="B9" s="31">
        <f>'قاعدة الأسماء'!B9</f>
        <v/>
      </c>
      <c r="C9" s="45">
        <f>'الاختبار القبلي'!O10</f>
        <v/>
      </c>
      <c r="D9" s="72">
        <f>IF(C9="ضعيف","خطة علاجية",IF(C9="متوسط","خطة تطويرية","خطة إثرائية"))</f>
        <v/>
      </c>
      <c r="E9" s="73">
        <f>IF(C9="ضعيف","تركيز على: " &amp; 'الواجهة الرئيسية'!B8 &amp; " و " &amp; 'الواجهة الرئيسية'!F8,IF(C9="متوسط","تطوير: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" s="73">
        <f>IF(C9="ضعيف","تدريبات مكثفة – نماذج سابقة",IF(C9="متوسط","أنشطة تفاعلية – أوراق عمل","مشاريع بحثية – مسابقات نافس"))</f>
        <v/>
      </c>
      <c r="G9" s="32" t="inlineStr"/>
      <c r="H9" s="32" t="inlineStr"/>
    </row>
    <row r="10" ht="22" customHeight="1">
      <c r="A10" s="46" t="n">
        <v>6</v>
      </c>
      <c r="B10" s="47">
        <f>'قاعدة الأسماء'!B10</f>
        <v/>
      </c>
      <c r="C10" s="51">
        <f>'الاختبار القبلي'!O11</f>
        <v/>
      </c>
      <c r="D10" s="74">
        <f>IF(C10="ضعيف","خطة علاجية",IF(C10="متوسط","خطة تطويرية","خطة إثرائية"))</f>
        <v/>
      </c>
      <c r="E10" s="75">
        <f>IF(C10="ضعيف","تركيز على: " &amp; 'الواجهة الرئيسية'!B8 &amp; " و " &amp; 'الواجهة الرئيسية'!F8,IF(C10="متوسط","تطوير: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0" s="75">
        <f>IF(C10="ضعيف","تدريبات مكثفة – نماذج سابقة",IF(C10="متوسط","أنشطة تفاعلية – أوراق عمل","مشاريع بحثية – مسابقات نافس"))</f>
        <v/>
      </c>
      <c r="G10" s="48" t="inlineStr"/>
      <c r="H10" s="48" t="inlineStr"/>
    </row>
    <row r="11" ht="22" customHeight="1">
      <c r="A11" s="30" t="n">
        <v>7</v>
      </c>
      <c r="B11" s="31">
        <f>'قاعدة الأسماء'!B11</f>
        <v/>
      </c>
      <c r="C11" s="45">
        <f>'الاختبار القبلي'!O12</f>
        <v/>
      </c>
      <c r="D11" s="72">
        <f>IF(C11="ضعيف","خطة علاجية",IF(C11="متوسط","خطة تطويرية","خطة إثرائية"))</f>
        <v/>
      </c>
      <c r="E11" s="73">
        <f>IF(C11="ضعيف","تركيز على: " &amp; 'الواجهة الرئيسية'!B8 &amp; " و " &amp; 'الواجهة الرئيسية'!F8,IF(C11="متوسط","تطوير: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1" s="73">
        <f>IF(C11="ضعيف","تدريبات مكثفة – نماذج سابقة",IF(C11="متوسط","أنشطة تفاعلية – أوراق عمل","مشاريع بحثية – مسابقات نافس"))</f>
        <v/>
      </c>
      <c r="G11" s="32" t="inlineStr"/>
      <c r="H11" s="32" t="inlineStr"/>
    </row>
    <row r="12" ht="22" customHeight="1">
      <c r="A12" s="46" t="n">
        <v>8</v>
      </c>
      <c r="B12" s="47">
        <f>'قاعدة الأسماء'!B12</f>
        <v/>
      </c>
      <c r="C12" s="51">
        <f>'الاختبار القبلي'!O13</f>
        <v/>
      </c>
      <c r="D12" s="74">
        <f>IF(C12="ضعيف","خطة علاجية",IF(C12="متوسط","خطة تطويرية","خطة إثرائية"))</f>
        <v/>
      </c>
      <c r="E12" s="75">
        <f>IF(C12="ضعيف","تركيز على: " &amp; 'الواجهة الرئيسية'!B8 &amp; " و " &amp; 'الواجهة الرئيسية'!F8,IF(C12="متوسط","تطوير: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2" s="75">
        <f>IF(C12="ضعيف","تدريبات مكثفة – نماذج سابقة",IF(C12="متوسط","أنشطة تفاعلية – أوراق عمل","مشاريع بحثية – مسابقات نافس"))</f>
        <v/>
      </c>
      <c r="G12" s="48" t="inlineStr"/>
      <c r="H12" s="48" t="inlineStr"/>
    </row>
    <row r="13" ht="22" customHeight="1">
      <c r="A13" s="30" t="n">
        <v>9</v>
      </c>
      <c r="B13" s="31">
        <f>'قاعدة الأسماء'!B13</f>
        <v/>
      </c>
      <c r="C13" s="45">
        <f>'الاختبار القبلي'!O14</f>
        <v/>
      </c>
      <c r="D13" s="72">
        <f>IF(C13="ضعيف","خطة علاجية",IF(C13="متوسط","خطة تطويرية","خطة إثرائية"))</f>
        <v/>
      </c>
      <c r="E13" s="73">
        <f>IF(C13="ضعيف","تركيز على: " &amp; 'الواجهة الرئيسية'!B8 &amp; " و " &amp; 'الواجهة الرئيسية'!F8,IF(C13="متوسط","تطوير: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3" s="73">
        <f>IF(C13="ضعيف","تدريبات مكثفة – نماذج سابقة",IF(C13="متوسط","أنشطة تفاعلية – أوراق عمل","مشاريع بحثية – مسابقات نافس"))</f>
        <v/>
      </c>
      <c r="G13" s="32" t="inlineStr"/>
      <c r="H13" s="32" t="inlineStr"/>
    </row>
    <row r="14" ht="22" customHeight="1">
      <c r="A14" s="46" t="n">
        <v>10</v>
      </c>
      <c r="B14" s="47">
        <f>'قاعدة الأسماء'!B14</f>
        <v/>
      </c>
      <c r="C14" s="51">
        <f>'الاختبار القبلي'!O15</f>
        <v/>
      </c>
      <c r="D14" s="74">
        <f>IF(C14="ضعيف","خطة علاجية",IF(C14="متوسط","خطة تطويرية","خطة إثرائية"))</f>
        <v/>
      </c>
      <c r="E14" s="75">
        <f>IF(C14="ضعيف","تركيز على: " &amp; 'الواجهة الرئيسية'!B8 &amp; " و " &amp; 'الواجهة الرئيسية'!F8,IF(C14="متوسط","تطوير: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4" s="75">
        <f>IF(C14="ضعيف","تدريبات مكثفة – نماذج سابقة",IF(C14="متوسط","أنشطة تفاعلية – أوراق عمل","مشاريع بحثية – مسابقات نافس"))</f>
        <v/>
      </c>
      <c r="G14" s="48" t="inlineStr"/>
      <c r="H14" s="48" t="inlineStr"/>
    </row>
    <row r="15" ht="22" customHeight="1">
      <c r="A15" s="30" t="n">
        <v>11</v>
      </c>
      <c r="B15" s="31">
        <f>'قاعدة الأسماء'!B15</f>
        <v/>
      </c>
      <c r="C15" s="45">
        <f>'الاختبار القبلي'!O16</f>
        <v/>
      </c>
      <c r="D15" s="72">
        <f>IF(C15="ضعيف","خطة علاجية",IF(C15="متوسط","خطة تطويرية","خطة إثرائية"))</f>
        <v/>
      </c>
      <c r="E15" s="73">
        <f>IF(C15="ضعيف","تركيز على: " &amp; 'الواجهة الرئيسية'!B8 &amp; " و " &amp; 'الواجهة الرئيسية'!F8,IF(C15="متوسط","تطوير: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5" s="73">
        <f>IF(C15="ضعيف","تدريبات مكثفة – نماذج سابقة",IF(C15="متوسط","أنشطة تفاعلية – أوراق عمل","مشاريع بحثية – مسابقات نافس"))</f>
        <v/>
      </c>
      <c r="G15" s="32" t="inlineStr"/>
      <c r="H15" s="32" t="inlineStr"/>
    </row>
    <row r="16" ht="22" customHeight="1">
      <c r="A16" s="46" t="n">
        <v>12</v>
      </c>
      <c r="B16" s="47">
        <f>'قاعدة الأسماء'!B16</f>
        <v/>
      </c>
      <c r="C16" s="51">
        <f>'الاختبار القبلي'!O17</f>
        <v/>
      </c>
      <c r="D16" s="74">
        <f>IF(C16="ضعيف","خطة علاجية",IF(C16="متوسط","خطة تطويرية","خطة إثرائية"))</f>
        <v/>
      </c>
      <c r="E16" s="75">
        <f>IF(C16="ضعيف","تركيز على: " &amp; 'الواجهة الرئيسية'!B8 &amp; " و " &amp; 'الواجهة الرئيسية'!F8,IF(C16="متوسط","تطوير: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6" s="75">
        <f>IF(C16="ضعيف","تدريبات مكثفة – نماذج سابقة",IF(C16="متوسط","أنشطة تفاعلية – أوراق عمل","مشاريع بحثية – مسابقات نافس"))</f>
        <v/>
      </c>
      <c r="G16" s="48" t="inlineStr"/>
      <c r="H16" s="48" t="inlineStr"/>
    </row>
    <row r="17" ht="22" customHeight="1">
      <c r="A17" s="30" t="n">
        <v>13</v>
      </c>
      <c r="B17" s="31">
        <f>'قاعدة الأسماء'!B17</f>
        <v/>
      </c>
      <c r="C17" s="45">
        <f>'الاختبار القبلي'!O18</f>
        <v/>
      </c>
      <c r="D17" s="72">
        <f>IF(C17="ضعيف","خطة علاجية",IF(C17="متوسط","خطة تطويرية","خطة إثرائية"))</f>
        <v/>
      </c>
      <c r="E17" s="73">
        <f>IF(C17="ضعيف","تركيز على: " &amp; 'الواجهة الرئيسية'!B8 &amp; " و " &amp; 'الواجهة الرئيسية'!F8,IF(C17="متوسط","تطوير: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7" s="73">
        <f>IF(C17="ضعيف","تدريبات مكثفة – نماذج سابقة",IF(C17="متوسط","أنشطة تفاعلية – أوراق عمل","مشاريع بحثية – مسابقات نافس"))</f>
        <v/>
      </c>
      <c r="G17" s="32" t="inlineStr"/>
      <c r="H17" s="32" t="inlineStr"/>
    </row>
    <row r="18" ht="22" customHeight="1">
      <c r="A18" s="46" t="n">
        <v>14</v>
      </c>
      <c r="B18" s="47">
        <f>'قاعدة الأسماء'!B18</f>
        <v/>
      </c>
      <c r="C18" s="51">
        <f>'الاختبار القبلي'!O19</f>
        <v/>
      </c>
      <c r="D18" s="74">
        <f>IF(C18="ضعيف","خطة علاجية",IF(C18="متوسط","خطة تطويرية","خطة إثرائية"))</f>
        <v/>
      </c>
      <c r="E18" s="75">
        <f>IF(C18="ضعيف","تركيز على: " &amp; 'الواجهة الرئيسية'!B8 &amp; " و " &amp; 'الواجهة الرئيسية'!F8,IF(C18="متوسط","تطوير: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8" s="75">
        <f>IF(C18="ضعيف","تدريبات مكثفة – نماذج سابقة",IF(C18="متوسط","أنشطة تفاعلية – أوراق عمل","مشاريع بحثية – مسابقات نافس"))</f>
        <v/>
      </c>
      <c r="G18" s="48" t="inlineStr"/>
      <c r="H18" s="48" t="inlineStr"/>
    </row>
    <row r="19" ht="22" customHeight="1">
      <c r="A19" s="30" t="n">
        <v>15</v>
      </c>
      <c r="B19" s="31">
        <f>'قاعدة الأسماء'!B19</f>
        <v/>
      </c>
      <c r="C19" s="45">
        <f>'الاختبار القبلي'!O20</f>
        <v/>
      </c>
      <c r="D19" s="72">
        <f>IF(C19="ضعيف","خطة علاجية",IF(C19="متوسط","خطة تطويرية","خطة إثرائية"))</f>
        <v/>
      </c>
      <c r="E19" s="73">
        <f>IF(C19="ضعيف","تركيز على: " &amp; 'الواجهة الرئيسية'!B8 &amp; " و " &amp; 'الواجهة الرئيسية'!F8,IF(C19="متوسط","تطوير: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9" s="73">
        <f>IF(C19="ضعيف","تدريبات مكثفة – نماذج سابقة",IF(C19="متوسط","أنشطة تفاعلية – أوراق عمل","مشاريع بحثية – مسابقات نافس"))</f>
        <v/>
      </c>
      <c r="G19" s="32" t="inlineStr"/>
      <c r="H19" s="32" t="inlineStr"/>
    </row>
    <row r="20" ht="22" customHeight="1">
      <c r="A20" s="46" t="n">
        <v>16</v>
      </c>
      <c r="B20" s="47">
        <f>'قاعدة الأسماء'!B20</f>
        <v/>
      </c>
      <c r="C20" s="51">
        <f>'الاختبار القبلي'!O21</f>
        <v/>
      </c>
      <c r="D20" s="74">
        <f>IF(C20="ضعيف","خطة علاجية",IF(C20="متوسط","خطة تطويرية","خطة إثرائية"))</f>
        <v/>
      </c>
      <c r="E20" s="75">
        <f>IF(C20="ضعيف","تركيز على: " &amp; 'الواجهة الرئيسية'!B8 &amp; " و " &amp; 'الواجهة الرئيسية'!F8,IF(C20="متوسط","تطوير: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0" s="75">
        <f>IF(C20="ضعيف","تدريبات مكثفة – نماذج سابقة",IF(C20="متوسط","أنشطة تفاعلية – أوراق عمل","مشاريع بحثية – مسابقات نافس"))</f>
        <v/>
      </c>
      <c r="G20" s="48" t="inlineStr"/>
      <c r="H20" s="48" t="inlineStr"/>
    </row>
    <row r="21" ht="22" customHeight="1">
      <c r="A21" s="30" t="n">
        <v>17</v>
      </c>
      <c r="B21" s="31">
        <f>'قاعدة الأسماء'!B21</f>
        <v/>
      </c>
      <c r="C21" s="45">
        <f>'الاختبار القبلي'!O22</f>
        <v/>
      </c>
      <c r="D21" s="72">
        <f>IF(C21="ضعيف","خطة علاجية",IF(C21="متوسط","خطة تطويرية","خطة إثرائية"))</f>
        <v/>
      </c>
      <c r="E21" s="73">
        <f>IF(C21="ضعيف","تركيز على: " &amp; 'الواجهة الرئيسية'!B8 &amp; " و " &amp; 'الواجهة الرئيسية'!F8,IF(C21="متوسط","تطوير: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1" s="73">
        <f>IF(C21="ضعيف","تدريبات مكثفة – نماذج سابقة",IF(C21="متوسط","أنشطة تفاعلية – أوراق عمل","مشاريع بحثية – مسابقات نافس"))</f>
        <v/>
      </c>
      <c r="G21" s="32" t="inlineStr"/>
      <c r="H21" s="32" t="inlineStr"/>
    </row>
    <row r="22" ht="22" customHeight="1">
      <c r="A22" s="46" t="n">
        <v>18</v>
      </c>
      <c r="B22" s="47">
        <f>'قاعدة الأسماء'!B22</f>
        <v/>
      </c>
      <c r="C22" s="51">
        <f>'الاختبار القبلي'!O23</f>
        <v/>
      </c>
      <c r="D22" s="74">
        <f>IF(C22="ضعيف","خطة علاجية",IF(C22="متوسط","خطة تطويرية","خطة إثرائية"))</f>
        <v/>
      </c>
      <c r="E22" s="75">
        <f>IF(C22="ضعيف","تركيز على: " &amp; 'الواجهة الرئيسية'!B8 &amp; " و " &amp; 'الواجهة الرئيسية'!F8,IF(C22="متوسط","تطوير: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2" s="75">
        <f>IF(C22="ضعيف","تدريبات مكثفة – نماذج سابقة",IF(C22="متوسط","أنشطة تفاعلية – أوراق عمل","مشاريع بحثية – مسابقات نافس"))</f>
        <v/>
      </c>
      <c r="G22" s="48" t="inlineStr"/>
      <c r="H22" s="48" t="inlineStr"/>
    </row>
    <row r="23" ht="22" customHeight="1">
      <c r="A23" s="30" t="n">
        <v>19</v>
      </c>
      <c r="B23" s="31">
        <f>'قاعدة الأسماء'!B23</f>
        <v/>
      </c>
      <c r="C23" s="45">
        <f>'الاختبار القبلي'!O24</f>
        <v/>
      </c>
      <c r="D23" s="72">
        <f>IF(C23="ضعيف","خطة علاجية",IF(C23="متوسط","خطة تطويرية","خطة إثرائية"))</f>
        <v/>
      </c>
      <c r="E23" s="73">
        <f>IF(C23="ضعيف","تركيز على: " &amp; 'الواجهة الرئيسية'!B8 &amp; " و " &amp; 'الواجهة الرئيسية'!F8,IF(C23="متوسط","تطوير: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3" s="73">
        <f>IF(C23="ضعيف","تدريبات مكثفة – نماذج سابقة",IF(C23="متوسط","أنشطة تفاعلية – أوراق عمل","مشاريع بحثية – مسابقات نافس"))</f>
        <v/>
      </c>
      <c r="G23" s="32" t="inlineStr"/>
      <c r="H23" s="32" t="inlineStr"/>
    </row>
    <row r="24" ht="22" customHeight="1">
      <c r="A24" s="46" t="n">
        <v>20</v>
      </c>
      <c r="B24" s="47">
        <f>'قاعدة الأسماء'!B24</f>
        <v/>
      </c>
      <c r="C24" s="51">
        <f>'الاختبار القبلي'!O25</f>
        <v/>
      </c>
      <c r="D24" s="74">
        <f>IF(C24="ضعيف","خطة علاجية",IF(C24="متوسط","خطة تطويرية","خطة إثرائية"))</f>
        <v/>
      </c>
      <c r="E24" s="75">
        <f>IF(C24="ضعيف","تركيز على: " &amp; 'الواجهة الرئيسية'!B8 &amp; " و " &amp; 'الواجهة الرئيسية'!F8,IF(C24="متوسط","تطوير: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4" s="75">
        <f>IF(C24="ضعيف","تدريبات مكثفة – نماذج سابقة",IF(C24="متوسط","أنشطة تفاعلية – أوراق عمل","مشاريع بحثية – مسابقات نافس"))</f>
        <v/>
      </c>
      <c r="G24" s="48" t="inlineStr"/>
      <c r="H24" s="48" t="inlineStr"/>
    </row>
    <row r="25" ht="22" customHeight="1">
      <c r="A25" s="30" t="n">
        <v>21</v>
      </c>
      <c r="B25" s="31">
        <f>'قاعدة الأسماء'!B25</f>
        <v/>
      </c>
      <c r="C25" s="45">
        <f>'الاختبار القبلي'!O26</f>
        <v/>
      </c>
      <c r="D25" s="72">
        <f>IF(C25="ضعيف","خطة علاجية",IF(C25="متوسط","خطة تطويرية","خطة إثرائية"))</f>
        <v/>
      </c>
      <c r="E25" s="73">
        <f>IF(C25="ضعيف","تركيز على: " &amp; 'الواجهة الرئيسية'!B8 &amp; " و " &amp; 'الواجهة الرئيسية'!F8,IF(C25="متوسط","تطوير: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5" s="73">
        <f>IF(C25="ضعيف","تدريبات مكثفة – نماذج سابقة",IF(C25="متوسط","أنشطة تفاعلية – أوراق عمل","مشاريع بحثية – مسابقات نافس"))</f>
        <v/>
      </c>
      <c r="G25" s="32" t="inlineStr"/>
      <c r="H25" s="32" t="inlineStr"/>
    </row>
    <row r="26" ht="22" customHeight="1">
      <c r="A26" s="46" t="n">
        <v>22</v>
      </c>
      <c r="B26" s="47">
        <f>'قاعدة الأسماء'!B26</f>
        <v/>
      </c>
      <c r="C26" s="51">
        <f>'الاختبار القبلي'!O27</f>
        <v/>
      </c>
      <c r="D26" s="74">
        <f>IF(C26="ضعيف","خطة علاجية",IF(C26="متوسط","خطة تطويرية","خطة إثرائية"))</f>
        <v/>
      </c>
      <c r="E26" s="75">
        <f>IF(C26="ضعيف","تركيز على: " &amp; 'الواجهة الرئيسية'!B8 &amp; " و " &amp; 'الواجهة الرئيسية'!F8,IF(C26="متوسط","تطوير: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6" s="75">
        <f>IF(C26="ضعيف","تدريبات مكثفة – نماذج سابقة",IF(C26="متوسط","أنشطة تفاعلية – أوراق عمل","مشاريع بحثية – مسابقات نافس"))</f>
        <v/>
      </c>
      <c r="G26" s="48" t="inlineStr"/>
      <c r="H26" s="48" t="inlineStr"/>
    </row>
    <row r="27" ht="22" customHeight="1">
      <c r="A27" s="30" t="n">
        <v>23</v>
      </c>
      <c r="B27" s="31">
        <f>'قاعدة الأسماء'!B27</f>
        <v/>
      </c>
      <c r="C27" s="45">
        <f>'الاختبار القبلي'!O28</f>
        <v/>
      </c>
      <c r="D27" s="72">
        <f>IF(C27="ضعيف","خطة علاجية",IF(C27="متوسط","خطة تطويرية","خطة إثرائية"))</f>
        <v/>
      </c>
      <c r="E27" s="73">
        <f>IF(C27="ضعيف","تركيز على: " &amp; 'الواجهة الرئيسية'!B8 &amp; " و " &amp; 'الواجهة الرئيسية'!F8,IF(C27="متوسط","تطوير: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7" s="73">
        <f>IF(C27="ضعيف","تدريبات مكثفة – نماذج سابقة",IF(C27="متوسط","أنشطة تفاعلية – أوراق عمل","مشاريع بحثية – مسابقات نافس"))</f>
        <v/>
      </c>
      <c r="G27" s="32" t="inlineStr"/>
      <c r="H27" s="32" t="inlineStr"/>
    </row>
    <row r="28" ht="22" customHeight="1">
      <c r="A28" s="46" t="n">
        <v>24</v>
      </c>
      <c r="B28" s="47">
        <f>'قاعدة الأسماء'!B28</f>
        <v/>
      </c>
      <c r="C28" s="51">
        <f>'الاختبار القبلي'!O29</f>
        <v/>
      </c>
      <c r="D28" s="74">
        <f>IF(C28="ضعيف","خطة علاجية",IF(C28="متوسط","خطة تطويرية","خطة إثرائية"))</f>
        <v/>
      </c>
      <c r="E28" s="75">
        <f>IF(C28="ضعيف","تركيز على: " &amp; 'الواجهة الرئيسية'!B8 &amp; " و " &amp; 'الواجهة الرئيسية'!F8,IF(C28="متوسط","تطوير: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8" s="75">
        <f>IF(C28="ضعيف","تدريبات مكثفة – نماذج سابقة",IF(C28="متوسط","أنشطة تفاعلية – أوراق عمل","مشاريع بحثية – مسابقات نافس"))</f>
        <v/>
      </c>
      <c r="G28" s="48" t="inlineStr"/>
      <c r="H28" s="48" t="inlineStr"/>
    </row>
    <row r="29" ht="22" customHeight="1">
      <c r="A29" s="30" t="n">
        <v>25</v>
      </c>
      <c r="B29" s="31">
        <f>'قاعدة الأسماء'!B29</f>
        <v/>
      </c>
      <c r="C29" s="45">
        <f>'الاختبار القبلي'!O30</f>
        <v/>
      </c>
      <c r="D29" s="72">
        <f>IF(C29="ضعيف","خطة علاجية",IF(C29="متوسط","خطة تطويرية","خطة إثرائية"))</f>
        <v/>
      </c>
      <c r="E29" s="73">
        <f>IF(C29="ضعيف","تركيز على: " &amp; 'الواجهة الرئيسية'!B8 &amp; " و " &amp; 'الواجهة الرئيسية'!F8,IF(C29="متوسط","تطوير: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9" s="73">
        <f>IF(C29="ضعيف","تدريبات مكثفة – نماذج سابقة",IF(C29="متوسط","أنشطة تفاعلية – أوراق عمل","مشاريع بحثية – مسابقات نافس"))</f>
        <v/>
      </c>
      <c r="G29" s="32" t="inlineStr"/>
      <c r="H29" s="32" t="inlineStr"/>
    </row>
    <row r="30" ht="22" customHeight="1">
      <c r="A30" s="46" t="n">
        <v>26</v>
      </c>
      <c r="B30" s="47">
        <f>'قاعدة الأسماء'!B30</f>
        <v/>
      </c>
      <c r="C30" s="51">
        <f>'الاختبار القبلي'!O31</f>
        <v/>
      </c>
      <c r="D30" s="74">
        <f>IF(C30="ضعيف","خطة علاجية",IF(C30="متوسط","خطة تطويرية","خطة إثرائية"))</f>
        <v/>
      </c>
      <c r="E30" s="75">
        <f>IF(C30="ضعيف","تركيز على: " &amp; 'الواجهة الرئيسية'!B8 &amp; " و " &amp; 'الواجهة الرئيسية'!F8,IF(C30="متوسط","تطوير: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0" s="75">
        <f>IF(C30="ضعيف","تدريبات مكثفة – نماذج سابقة",IF(C30="متوسط","أنشطة تفاعلية – أوراق عمل","مشاريع بحثية – مسابقات نافس"))</f>
        <v/>
      </c>
      <c r="G30" s="48" t="inlineStr"/>
      <c r="H30" s="48" t="inlineStr"/>
    </row>
    <row r="31" ht="22" customHeight="1">
      <c r="A31" s="30" t="n">
        <v>27</v>
      </c>
      <c r="B31" s="31">
        <f>'قاعدة الأسماء'!B31</f>
        <v/>
      </c>
      <c r="C31" s="45">
        <f>'الاختبار القبلي'!O32</f>
        <v/>
      </c>
      <c r="D31" s="72">
        <f>IF(C31="ضعيف","خطة علاجية",IF(C31="متوسط","خطة تطويرية","خطة إثرائية"))</f>
        <v/>
      </c>
      <c r="E31" s="73">
        <f>IF(C31="ضعيف","تركيز على: " &amp; 'الواجهة الرئيسية'!B8 &amp; " و " &amp; 'الواجهة الرئيسية'!F8,IF(C31="متوسط","تطوير: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1" s="73">
        <f>IF(C31="ضعيف","تدريبات مكثفة – نماذج سابقة",IF(C31="متوسط","أنشطة تفاعلية – أوراق عمل","مشاريع بحثية – مسابقات نافس"))</f>
        <v/>
      </c>
      <c r="G31" s="32" t="inlineStr"/>
      <c r="H31" s="32" t="inlineStr"/>
    </row>
    <row r="32" ht="22" customHeight="1">
      <c r="A32" s="46" t="n">
        <v>28</v>
      </c>
      <c r="B32" s="47">
        <f>'قاعدة الأسماء'!B32</f>
        <v/>
      </c>
      <c r="C32" s="51">
        <f>'الاختبار القبلي'!O33</f>
        <v/>
      </c>
      <c r="D32" s="74">
        <f>IF(C32="ضعيف","خطة علاجية",IF(C32="متوسط","خطة تطويرية","خطة إثرائية"))</f>
        <v/>
      </c>
      <c r="E32" s="75">
        <f>IF(C32="ضعيف","تركيز على: " &amp; 'الواجهة الرئيسية'!B8 &amp; " و " &amp; 'الواجهة الرئيسية'!F8,IF(C32="متوسط","تطوير: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2" s="75">
        <f>IF(C32="ضعيف","تدريبات مكثفة – نماذج سابقة",IF(C32="متوسط","أنشطة تفاعلية – أوراق عمل","مشاريع بحثية – مسابقات نافس"))</f>
        <v/>
      </c>
      <c r="G32" s="48" t="inlineStr"/>
      <c r="H32" s="48" t="inlineStr"/>
    </row>
    <row r="33" ht="22" customHeight="1">
      <c r="A33" s="30" t="n">
        <v>29</v>
      </c>
      <c r="B33" s="31">
        <f>'قاعدة الأسماء'!B33</f>
        <v/>
      </c>
      <c r="C33" s="45">
        <f>'الاختبار القبلي'!O34</f>
        <v/>
      </c>
      <c r="D33" s="72">
        <f>IF(C33="ضعيف","خطة علاجية",IF(C33="متوسط","خطة تطويرية","خطة إثرائية"))</f>
        <v/>
      </c>
      <c r="E33" s="73">
        <f>IF(C33="ضعيف","تركيز على: " &amp; 'الواجهة الرئيسية'!B8 &amp; " و " &amp; 'الواجهة الرئيسية'!F8,IF(C33="متوسط","تطوير: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3" s="73">
        <f>IF(C33="ضعيف","تدريبات مكثفة – نماذج سابقة",IF(C33="متوسط","أنشطة تفاعلية – أوراق عمل","مشاريع بحثية – مسابقات نافس"))</f>
        <v/>
      </c>
      <c r="G33" s="32" t="inlineStr"/>
      <c r="H33" s="32" t="inlineStr"/>
    </row>
    <row r="34" ht="22" customHeight="1">
      <c r="A34" s="46" t="n">
        <v>30</v>
      </c>
      <c r="B34" s="47">
        <f>'قاعدة الأسماء'!B34</f>
        <v/>
      </c>
      <c r="C34" s="51">
        <f>'الاختبار القبلي'!O35</f>
        <v/>
      </c>
      <c r="D34" s="74">
        <f>IF(C34="ضعيف","خطة علاجية",IF(C34="متوسط","خطة تطويرية","خطة إثرائية"))</f>
        <v/>
      </c>
      <c r="E34" s="75">
        <f>IF(C34="ضعيف","تركيز على: " &amp; 'الواجهة الرئيسية'!B8 &amp; " و " &amp; 'الواجهة الرئيسية'!F8,IF(C34="متوسط","تطوير: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4" s="75">
        <f>IF(C34="ضعيف","تدريبات مكثفة – نماذج سابقة",IF(C34="متوسط","أنشطة تفاعلية – أوراق عمل","مشاريع بحثية – مسابقات نافس"))</f>
        <v/>
      </c>
      <c r="G34" s="48" t="inlineStr"/>
      <c r="H34" s="48" t="inlineStr"/>
    </row>
    <row r="35" ht="22" customHeight="1">
      <c r="A35" s="30" t="n">
        <v>31</v>
      </c>
      <c r="B35" s="31">
        <f>'قاعدة الأسماء'!B35</f>
        <v/>
      </c>
      <c r="C35" s="45">
        <f>'الاختبار القبلي'!O36</f>
        <v/>
      </c>
      <c r="D35" s="72">
        <f>IF(C35="ضعيف","خطة علاجية",IF(C35="متوسط","خطة تطويرية","خطة إثرائية"))</f>
        <v/>
      </c>
      <c r="E35" s="73">
        <f>IF(C35="ضعيف","تركيز على: " &amp; 'الواجهة الرئيسية'!B8 &amp; " و " &amp; 'الواجهة الرئيسية'!F8,IF(C35="متوسط","تطوير: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5" s="73">
        <f>IF(C35="ضعيف","تدريبات مكثفة – نماذج سابقة",IF(C35="متوسط","أنشطة تفاعلية – أوراق عمل","مشاريع بحثية – مسابقات نافس"))</f>
        <v/>
      </c>
      <c r="G35" s="32" t="inlineStr"/>
      <c r="H35" s="32" t="inlineStr"/>
    </row>
    <row r="36" ht="22" customHeight="1">
      <c r="A36" s="46" t="n">
        <v>32</v>
      </c>
      <c r="B36" s="47">
        <f>'قاعدة الأسماء'!B36</f>
        <v/>
      </c>
      <c r="C36" s="51">
        <f>'الاختبار القبلي'!O37</f>
        <v/>
      </c>
      <c r="D36" s="74">
        <f>IF(C36="ضعيف","خطة علاجية",IF(C36="متوسط","خطة تطويرية","خطة إثرائية"))</f>
        <v/>
      </c>
      <c r="E36" s="75">
        <f>IF(C36="ضعيف","تركيز على: " &amp; 'الواجهة الرئيسية'!B8 &amp; " و " &amp; 'الواجهة الرئيسية'!F8,IF(C36="متوسط","تطوير: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6" s="75">
        <f>IF(C36="ضعيف","تدريبات مكثفة – نماذج سابقة",IF(C36="متوسط","أنشطة تفاعلية – أوراق عمل","مشاريع بحثية – مسابقات نافس"))</f>
        <v/>
      </c>
      <c r="G36" s="48" t="inlineStr"/>
      <c r="H36" s="48" t="inlineStr"/>
    </row>
    <row r="37" ht="22" customHeight="1">
      <c r="A37" s="30" t="n">
        <v>33</v>
      </c>
      <c r="B37" s="31">
        <f>'قاعدة الأسماء'!B37</f>
        <v/>
      </c>
      <c r="C37" s="45">
        <f>'الاختبار القبلي'!O38</f>
        <v/>
      </c>
      <c r="D37" s="72">
        <f>IF(C37="ضعيف","خطة علاجية",IF(C37="متوسط","خطة تطويرية","خطة إثرائية"))</f>
        <v/>
      </c>
      <c r="E37" s="73">
        <f>IF(C37="ضعيف","تركيز على: " &amp; 'الواجهة الرئيسية'!B8 &amp; " و " &amp; 'الواجهة الرئيسية'!F8,IF(C37="متوسط","تطوير: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7" s="73">
        <f>IF(C37="ضعيف","تدريبات مكثفة – نماذج سابقة",IF(C37="متوسط","أنشطة تفاعلية – أوراق عمل","مشاريع بحثية – مسابقات نافس"))</f>
        <v/>
      </c>
      <c r="G37" s="32" t="inlineStr"/>
      <c r="H37" s="32" t="inlineStr"/>
    </row>
    <row r="38" ht="22" customHeight="1">
      <c r="A38" s="46" t="n">
        <v>34</v>
      </c>
      <c r="B38" s="47">
        <f>'قاعدة الأسماء'!B38</f>
        <v/>
      </c>
      <c r="C38" s="51">
        <f>'الاختبار القبلي'!O39</f>
        <v/>
      </c>
      <c r="D38" s="74">
        <f>IF(C38="ضعيف","خطة علاجية",IF(C38="متوسط","خطة تطويرية","خطة إثرائية"))</f>
        <v/>
      </c>
      <c r="E38" s="75">
        <f>IF(C38="ضعيف","تركيز على: " &amp; 'الواجهة الرئيسية'!B8 &amp; " و " &amp; 'الواجهة الرئيسية'!F8,IF(C38="متوسط","تطوير: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8" s="75">
        <f>IF(C38="ضعيف","تدريبات مكثفة – نماذج سابقة",IF(C38="متوسط","أنشطة تفاعلية – أوراق عمل","مشاريع بحثية – مسابقات نافس"))</f>
        <v/>
      </c>
      <c r="G38" s="48" t="inlineStr"/>
      <c r="H38" s="48" t="inlineStr"/>
    </row>
    <row r="39" ht="22" customHeight="1">
      <c r="A39" s="30" t="n">
        <v>35</v>
      </c>
      <c r="B39" s="31">
        <f>'قاعدة الأسماء'!B39</f>
        <v/>
      </c>
      <c r="C39" s="45">
        <f>'الاختبار القبلي'!O40</f>
        <v/>
      </c>
      <c r="D39" s="72">
        <f>IF(C39="ضعيف","خطة علاجية",IF(C39="متوسط","خطة تطويرية","خطة إثرائية"))</f>
        <v/>
      </c>
      <c r="E39" s="73">
        <f>IF(C39="ضعيف","تركيز على: " &amp; 'الواجهة الرئيسية'!B8 &amp; " و " &amp; 'الواجهة الرئيسية'!F8,IF(C39="متوسط","تطوير: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9" s="73">
        <f>IF(C39="ضعيف","تدريبات مكثفة – نماذج سابقة",IF(C39="متوسط","أنشطة تفاعلية – أوراق عمل","مشاريع بحثية – مسابقات نافس"))</f>
        <v/>
      </c>
      <c r="G39" s="32" t="inlineStr"/>
      <c r="H39" s="32" t="inlineStr"/>
    </row>
    <row r="40" ht="22" customHeight="1">
      <c r="A40" s="46" t="n">
        <v>36</v>
      </c>
      <c r="B40" s="47">
        <f>'قاعدة الأسماء'!B40</f>
        <v/>
      </c>
      <c r="C40" s="51">
        <f>'الاختبار القبلي'!O41</f>
        <v/>
      </c>
      <c r="D40" s="74">
        <f>IF(C40="ضعيف","خطة علاجية",IF(C40="متوسط","خطة تطويرية","خطة إثرائية"))</f>
        <v/>
      </c>
      <c r="E40" s="75">
        <f>IF(C40="ضعيف","تركيز على: " &amp; 'الواجهة الرئيسية'!B8 &amp; " و " &amp; 'الواجهة الرئيسية'!F8,IF(C40="متوسط","تطوير: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0" s="75">
        <f>IF(C40="ضعيف","تدريبات مكثفة – نماذج سابقة",IF(C40="متوسط","أنشطة تفاعلية – أوراق عمل","مشاريع بحثية – مسابقات نافس"))</f>
        <v/>
      </c>
      <c r="G40" s="48" t="inlineStr"/>
      <c r="H40" s="48" t="inlineStr"/>
    </row>
    <row r="41" ht="22" customHeight="1">
      <c r="A41" s="30" t="n">
        <v>37</v>
      </c>
      <c r="B41" s="31">
        <f>'قاعدة الأسماء'!B41</f>
        <v/>
      </c>
      <c r="C41" s="45">
        <f>'الاختبار القبلي'!O42</f>
        <v/>
      </c>
      <c r="D41" s="72">
        <f>IF(C41="ضعيف","خطة علاجية",IF(C41="متوسط","خطة تطويرية","خطة إثرائية"))</f>
        <v/>
      </c>
      <c r="E41" s="73">
        <f>IF(C41="ضعيف","تركيز على: " &amp; 'الواجهة الرئيسية'!B8 &amp; " و " &amp; 'الواجهة الرئيسية'!F8,IF(C41="متوسط","تطوير: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1" s="73">
        <f>IF(C41="ضعيف","تدريبات مكثفة – نماذج سابقة",IF(C41="متوسط","أنشطة تفاعلية – أوراق عمل","مشاريع بحثية – مسابقات نافس"))</f>
        <v/>
      </c>
      <c r="G41" s="32" t="inlineStr"/>
      <c r="H41" s="32" t="inlineStr"/>
    </row>
    <row r="42" ht="22" customHeight="1">
      <c r="A42" s="46" t="n">
        <v>38</v>
      </c>
      <c r="B42" s="47">
        <f>'قاعدة الأسماء'!B42</f>
        <v/>
      </c>
      <c r="C42" s="51">
        <f>'الاختبار القبلي'!O43</f>
        <v/>
      </c>
      <c r="D42" s="74">
        <f>IF(C42="ضعيف","خطة علاجية",IF(C42="متوسط","خطة تطويرية","خطة إثرائية"))</f>
        <v/>
      </c>
      <c r="E42" s="75">
        <f>IF(C42="ضعيف","تركيز على: " &amp; 'الواجهة الرئيسية'!B8 &amp; " و " &amp; 'الواجهة الرئيسية'!F8,IF(C42="متوسط","تطوير: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2" s="75">
        <f>IF(C42="ضعيف","تدريبات مكثفة – نماذج سابقة",IF(C42="متوسط","أنشطة تفاعلية – أوراق عمل","مشاريع بحثية – مسابقات نافس"))</f>
        <v/>
      </c>
      <c r="G42" s="48" t="inlineStr"/>
      <c r="H42" s="48" t="inlineStr"/>
    </row>
    <row r="43" ht="22" customHeight="1">
      <c r="A43" s="30" t="n">
        <v>39</v>
      </c>
      <c r="B43" s="31">
        <f>'قاعدة الأسماء'!B43</f>
        <v/>
      </c>
      <c r="C43" s="45">
        <f>'الاختبار القبلي'!O44</f>
        <v/>
      </c>
      <c r="D43" s="72">
        <f>IF(C43="ضعيف","خطة علاجية",IF(C43="متوسط","خطة تطويرية","خطة إثرائية"))</f>
        <v/>
      </c>
      <c r="E43" s="73">
        <f>IF(C43="ضعيف","تركيز على: " &amp; 'الواجهة الرئيسية'!B8 &amp; " و " &amp; 'الواجهة الرئيسية'!F8,IF(C43="متوسط","تطوير: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3" s="73">
        <f>IF(C43="ضعيف","تدريبات مكثفة – نماذج سابقة",IF(C43="متوسط","أنشطة تفاعلية – أوراق عمل","مشاريع بحثية – مسابقات نافس"))</f>
        <v/>
      </c>
      <c r="G43" s="32" t="inlineStr"/>
      <c r="H43" s="32" t="inlineStr"/>
    </row>
    <row r="44" ht="22" customHeight="1">
      <c r="A44" s="46" t="n">
        <v>40</v>
      </c>
      <c r="B44" s="47">
        <f>'قاعدة الأسماء'!B44</f>
        <v/>
      </c>
      <c r="C44" s="51">
        <f>'الاختبار القبلي'!O45</f>
        <v/>
      </c>
      <c r="D44" s="74">
        <f>IF(C44="ضعيف","خطة علاجية",IF(C44="متوسط","خطة تطويرية","خطة إثرائية"))</f>
        <v/>
      </c>
      <c r="E44" s="75">
        <f>IF(C44="ضعيف","تركيز على: " &amp; 'الواجهة الرئيسية'!B8 &amp; " و " &amp; 'الواجهة الرئيسية'!F8,IF(C44="متوسط","تطوير: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4" s="75">
        <f>IF(C44="ضعيف","تدريبات مكثفة – نماذج سابقة",IF(C44="متوسط","أنشطة تفاعلية – أوراق عمل","مشاريع بحثية – مسابقات نافس"))</f>
        <v/>
      </c>
      <c r="G44" s="48" t="inlineStr"/>
      <c r="H44" s="48" t="inlineStr"/>
    </row>
    <row r="45" ht="22" customHeight="1">
      <c r="A45" s="30" t="n">
        <v>41</v>
      </c>
      <c r="B45" s="31">
        <f>'قاعدة الأسماء'!B45</f>
        <v/>
      </c>
      <c r="C45" s="45">
        <f>'الاختبار القبلي'!O46</f>
        <v/>
      </c>
      <c r="D45" s="72">
        <f>IF(C45="ضعيف","خطة علاجية",IF(C45="متوسط","خطة تطويرية","خطة إثرائية"))</f>
        <v/>
      </c>
      <c r="E45" s="73">
        <f>IF(C45="ضعيف","تركيز على: " &amp; 'الواجهة الرئيسية'!B8 &amp; " و " &amp; 'الواجهة الرئيسية'!F8,IF(C45="متوسط","تطوير: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5" s="73">
        <f>IF(C45="ضعيف","تدريبات مكثفة – نماذج سابقة",IF(C45="متوسط","أنشطة تفاعلية – أوراق عمل","مشاريع بحثية – مسابقات نافس"))</f>
        <v/>
      </c>
      <c r="G45" s="32" t="inlineStr"/>
      <c r="H45" s="32" t="inlineStr"/>
    </row>
    <row r="46" ht="22" customHeight="1">
      <c r="A46" s="46" t="n">
        <v>42</v>
      </c>
      <c r="B46" s="47">
        <f>'قاعدة الأسماء'!B46</f>
        <v/>
      </c>
      <c r="C46" s="51">
        <f>'الاختبار القبلي'!O47</f>
        <v/>
      </c>
      <c r="D46" s="74">
        <f>IF(C46="ضعيف","خطة علاجية",IF(C46="متوسط","خطة تطويرية","خطة إثرائية"))</f>
        <v/>
      </c>
      <c r="E46" s="75">
        <f>IF(C46="ضعيف","تركيز على: " &amp; 'الواجهة الرئيسية'!B8 &amp; " و " &amp; 'الواجهة الرئيسية'!F8,IF(C46="متوسط","تطوير: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6" s="75">
        <f>IF(C46="ضعيف","تدريبات مكثفة – نماذج سابقة",IF(C46="متوسط","أنشطة تفاعلية – أوراق عمل","مشاريع بحثية – مسابقات نافس"))</f>
        <v/>
      </c>
      <c r="G46" s="48" t="inlineStr"/>
      <c r="H46" s="48" t="inlineStr"/>
    </row>
    <row r="47" ht="22" customHeight="1">
      <c r="A47" s="30" t="n">
        <v>43</v>
      </c>
      <c r="B47" s="31">
        <f>'قاعدة الأسماء'!B47</f>
        <v/>
      </c>
      <c r="C47" s="45">
        <f>'الاختبار القبلي'!O48</f>
        <v/>
      </c>
      <c r="D47" s="72">
        <f>IF(C47="ضعيف","خطة علاجية",IF(C47="متوسط","خطة تطويرية","خطة إثرائية"))</f>
        <v/>
      </c>
      <c r="E47" s="73">
        <f>IF(C47="ضعيف","تركيز على: " &amp; 'الواجهة الرئيسية'!B8 &amp; " و " &amp; 'الواجهة الرئيسية'!F8,IF(C47="متوسط","تطوير: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7" s="73">
        <f>IF(C47="ضعيف","تدريبات مكثفة – نماذج سابقة",IF(C47="متوسط","أنشطة تفاعلية – أوراق عمل","مشاريع بحثية – مسابقات نافس"))</f>
        <v/>
      </c>
      <c r="G47" s="32" t="inlineStr"/>
      <c r="H47" s="32" t="inlineStr"/>
    </row>
    <row r="48" ht="22" customHeight="1">
      <c r="A48" s="46" t="n">
        <v>44</v>
      </c>
      <c r="B48" s="47">
        <f>'قاعدة الأسماء'!B48</f>
        <v/>
      </c>
      <c r="C48" s="51">
        <f>'الاختبار القبلي'!O49</f>
        <v/>
      </c>
      <c r="D48" s="74">
        <f>IF(C48="ضعيف","خطة علاجية",IF(C48="متوسط","خطة تطويرية","خطة إثرائية"))</f>
        <v/>
      </c>
      <c r="E48" s="75">
        <f>IF(C48="ضعيف","تركيز على: " &amp; 'الواجهة الرئيسية'!B8 &amp; " و " &amp; 'الواجهة الرئيسية'!F8,IF(C48="متوسط","تطوير: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8" s="75">
        <f>IF(C48="ضعيف","تدريبات مكثفة – نماذج سابقة",IF(C48="متوسط","أنشطة تفاعلية – أوراق عمل","مشاريع بحثية – مسابقات نافس"))</f>
        <v/>
      </c>
      <c r="G48" s="48" t="inlineStr"/>
      <c r="H48" s="48" t="inlineStr"/>
    </row>
    <row r="49" ht="22" customHeight="1">
      <c r="A49" s="30" t="n">
        <v>45</v>
      </c>
      <c r="B49" s="31">
        <f>'قاعدة الأسماء'!B49</f>
        <v/>
      </c>
      <c r="C49" s="45">
        <f>'الاختبار القبلي'!O50</f>
        <v/>
      </c>
      <c r="D49" s="72">
        <f>IF(C49="ضعيف","خطة علاجية",IF(C49="متوسط","خطة تطويرية","خطة إثرائية"))</f>
        <v/>
      </c>
      <c r="E49" s="73">
        <f>IF(C49="ضعيف","تركيز على: " &amp; 'الواجهة الرئيسية'!B8 &amp; " و " &amp; 'الواجهة الرئيسية'!F8,IF(C49="متوسط","تطوير: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9" s="73">
        <f>IF(C49="ضعيف","تدريبات مكثفة – نماذج سابقة",IF(C49="متوسط","أنشطة تفاعلية – أوراق عمل","مشاريع بحثية – مسابقات نافس"))</f>
        <v/>
      </c>
      <c r="G49" s="32" t="inlineStr"/>
      <c r="H49" s="32" t="inlineStr"/>
    </row>
    <row r="50" ht="22" customHeight="1">
      <c r="A50" s="46" t="n">
        <v>46</v>
      </c>
      <c r="B50" s="47">
        <f>'قاعدة الأسماء'!B50</f>
        <v/>
      </c>
      <c r="C50" s="51">
        <f>'الاختبار القبلي'!O51</f>
        <v/>
      </c>
      <c r="D50" s="74">
        <f>IF(C50="ضعيف","خطة علاجية",IF(C50="متوسط","خطة تطويرية","خطة إثرائية"))</f>
        <v/>
      </c>
      <c r="E50" s="75">
        <f>IF(C50="ضعيف","تركيز على: " &amp; 'الواجهة الرئيسية'!B8 &amp; " و " &amp; 'الواجهة الرئيسية'!F8,IF(C50="متوسط","تطوير: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0" s="75">
        <f>IF(C50="ضعيف","تدريبات مكثفة – نماذج سابقة",IF(C50="متوسط","أنشطة تفاعلية – أوراق عمل","مشاريع بحثية – مسابقات نافس"))</f>
        <v/>
      </c>
      <c r="G50" s="48" t="inlineStr"/>
      <c r="H50" s="48" t="inlineStr"/>
    </row>
    <row r="51" ht="22" customHeight="1">
      <c r="A51" s="30" t="n">
        <v>47</v>
      </c>
      <c r="B51" s="31">
        <f>'قاعدة الأسماء'!B51</f>
        <v/>
      </c>
      <c r="C51" s="45">
        <f>'الاختبار القبلي'!O52</f>
        <v/>
      </c>
      <c r="D51" s="72">
        <f>IF(C51="ضعيف","خطة علاجية",IF(C51="متوسط","خطة تطويرية","خطة إثرائية"))</f>
        <v/>
      </c>
      <c r="E51" s="73">
        <f>IF(C51="ضعيف","تركيز على: " &amp; 'الواجهة الرئيسية'!B8 &amp; " و " &amp; 'الواجهة الرئيسية'!F8,IF(C51="متوسط","تطوير: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1" s="73">
        <f>IF(C51="ضعيف","تدريبات مكثفة – نماذج سابقة",IF(C51="متوسط","أنشطة تفاعلية – أوراق عمل","مشاريع بحثية – مسابقات نافس"))</f>
        <v/>
      </c>
      <c r="G51" s="32" t="inlineStr"/>
      <c r="H51" s="32" t="inlineStr"/>
    </row>
    <row r="52" ht="22" customHeight="1">
      <c r="A52" s="46" t="n">
        <v>48</v>
      </c>
      <c r="B52" s="47">
        <f>'قاعدة الأسماء'!B52</f>
        <v/>
      </c>
      <c r="C52" s="51">
        <f>'الاختبار القبلي'!O53</f>
        <v/>
      </c>
      <c r="D52" s="74">
        <f>IF(C52="ضعيف","خطة علاجية",IF(C52="متوسط","خطة تطويرية","خطة إثرائية"))</f>
        <v/>
      </c>
      <c r="E52" s="75">
        <f>IF(C52="ضعيف","تركيز على: " &amp; 'الواجهة الرئيسية'!B8 &amp; " و " &amp; 'الواجهة الرئيسية'!F8,IF(C52="متوسط","تطوير: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2" s="75">
        <f>IF(C52="ضعيف","تدريبات مكثفة – نماذج سابقة",IF(C52="متوسط","أنشطة تفاعلية – أوراق عمل","مشاريع بحثية – مسابقات نافس"))</f>
        <v/>
      </c>
      <c r="G52" s="48" t="inlineStr"/>
      <c r="H52" s="48" t="inlineStr"/>
    </row>
    <row r="53" ht="22" customHeight="1">
      <c r="A53" s="30" t="n">
        <v>49</v>
      </c>
      <c r="B53" s="31">
        <f>'قاعدة الأسماء'!B53</f>
        <v/>
      </c>
      <c r="C53" s="45">
        <f>'الاختبار القبلي'!O54</f>
        <v/>
      </c>
      <c r="D53" s="72">
        <f>IF(C53="ضعيف","خطة علاجية",IF(C53="متوسط","خطة تطويرية","خطة إثرائية"))</f>
        <v/>
      </c>
      <c r="E53" s="73">
        <f>IF(C53="ضعيف","تركيز على: " &amp; 'الواجهة الرئيسية'!B8 &amp; " و " &amp; 'الواجهة الرئيسية'!F8,IF(C53="متوسط","تطوير: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3" s="73">
        <f>IF(C53="ضعيف","تدريبات مكثفة – نماذج سابقة",IF(C53="متوسط","أنشطة تفاعلية – أوراق عمل","مشاريع بحثية – مسابقات نافس"))</f>
        <v/>
      </c>
      <c r="G53" s="32" t="inlineStr"/>
      <c r="H53" s="32" t="inlineStr"/>
    </row>
    <row r="54" ht="22" customHeight="1">
      <c r="A54" s="46" t="n">
        <v>50</v>
      </c>
      <c r="B54" s="47">
        <f>'قاعدة الأسماء'!B54</f>
        <v/>
      </c>
      <c r="C54" s="51">
        <f>'الاختبار القبلي'!O55</f>
        <v/>
      </c>
      <c r="D54" s="74">
        <f>IF(C54="ضعيف","خطة علاجية",IF(C54="متوسط","خطة تطويرية","خطة إثرائية"))</f>
        <v/>
      </c>
      <c r="E54" s="75">
        <f>IF(C54="ضعيف","تركيز على: " &amp; 'الواجهة الرئيسية'!B8 &amp; " و " &amp; 'الواجهة الرئيسية'!F8,IF(C54="متوسط","تطوير: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4" s="75">
        <f>IF(C54="ضعيف","تدريبات مكثفة – نماذج سابقة",IF(C54="متوسط","أنشطة تفاعلية – أوراق عمل","مشاريع بحثية – مسابقات نافس"))</f>
        <v/>
      </c>
      <c r="G54" s="48" t="inlineStr"/>
      <c r="H54" s="48" t="inlineStr"/>
    </row>
    <row r="55" ht="22" customHeight="1">
      <c r="A55" s="30" t="n">
        <v>51</v>
      </c>
      <c r="B55" s="31">
        <f>'قاعدة الأسماء'!B55</f>
        <v/>
      </c>
      <c r="C55" s="45">
        <f>'الاختبار القبلي'!O56</f>
        <v/>
      </c>
      <c r="D55" s="72">
        <f>IF(C55="ضعيف","خطة علاجية",IF(C55="متوسط","خطة تطويرية","خطة إثرائية"))</f>
        <v/>
      </c>
      <c r="E55" s="73">
        <f>IF(C55="ضعيف","تركيز على: " &amp; 'الواجهة الرئيسية'!B8 &amp; " و " &amp; 'الواجهة الرئيسية'!F8,IF(C55="متوسط","تطوير: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5" s="73">
        <f>IF(C55="ضعيف","تدريبات مكثفة – نماذج سابقة",IF(C55="متوسط","أنشطة تفاعلية – أوراق عمل","مشاريع بحثية – مسابقات نافس"))</f>
        <v/>
      </c>
      <c r="G55" s="32" t="inlineStr"/>
      <c r="H55" s="32" t="inlineStr"/>
    </row>
    <row r="56" ht="22" customHeight="1">
      <c r="A56" s="46" t="n">
        <v>52</v>
      </c>
      <c r="B56" s="47">
        <f>'قاعدة الأسماء'!B56</f>
        <v/>
      </c>
      <c r="C56" s="51">
        <f>'الاختبار القبلي'!O57</f>
        <v/>
      </c>
      <c r="D56" s="74">
        <f>IF(C56="ضعيف","خطة علاجية",IF(C56="متوسط","خطة تطويرية","خطة إثرائية"))</f>
        <v/>
      </c>
      <c r="E56" s="75">
        <f>IF(C56="ضعيف","تركيز على: " &amp; 'الواجهة الرئيسية'!B8 &amp; " و " &amp; 'الواجهة الرئيسية'!F8,IF(C56="متوسط","تطوير: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6" s="75">
        <f>IF(C56="ضعيف","تدريبات مكثفة – نماذج سابقة",IF(C56="متوسط","أنشطة تفاعلية – أوراق عمل","مشاريع بحثية – مسابقات نافس"))</f>
        <v/>
      </c>
      <c r="G56" s="48" t="inlineStr"/>
      <c r="H56" s="48" t="inlineStr"/>
    </row>
    <row r="57" ht="22" customHeight="1">
      <c r="A57" s="30" t="n">
        <v>53</v>
      </c>
      <c r="B57" s="31">
        <f>'قاعدة الأسماء'!B57</f>
        <v/>
      </c>
      <c r="C57" s="45">
        <f>'الاختبار القبلي'!O58</f>
        <v/>
      </c>
      <c r="D57" s="72">
        <f>IF(C57="ضعيف","خطة علاجية",IF(C57="متوسط","خطة تطويرية","خطة إثرائية"))</f>
        <v/>
      </c>
      <c r="E57" s="73">
        <f>IF(C57="ضعيف","تركيز على: " &amp; 'الواجهة الرئيسية'!B8 &amp; " و " &amp; 'الواجهة الرئيسية'!F8,IF(C57="متوسط","تطوير: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7" s="73">
        <f>IF(C57="ضعيف","تدريبات مكثفة – نماذج سابقة",IF(C57="متوسط","أنشطة تفاعلية – أوراق عمل","مشاريع بحثية – مسابقات نافس"))</f>
        <v/>
      </c>
      <c r="G57" s="32" t="inlineStr"/>
      <c r="H57" s="32" t="inlineStr"/>
    </row>
    <row r="58" ht="22" customHeight="1">
      <c r="A58" s="46" t="n">
        <v>54</v>
      </c>
      <c r="B58" s="47">
        <f>'قاعدة الأسماء'!B58</f>
        <v/>
      </c>
      <c r="C58" s="51">
        <f>'الاختبار القبلي'!O59</f>
        <v/>
      </c>
      <c r="D58" s="74">
        <f>IF(C58="ضعيف","خطة علاجية",IF(C58="متوسط","خطة تطويرية","خطة إثرائية"))</f>
        <v/>
      </c>
      <c r="E58" s="75">
        <f>IF(C58="ضعيف","تركيز على: " &amp; 'الواجهة الرئيسية'!B8 &amp; " و " &amp; 'الواجهة الرئيسية'!F8,IF(C58="متوسط","تطوير: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8" s="75">
        <f>IF(C58="ضعيف","تدريبات مكثفة – نماذج سابقة",IF(C58="متوسط","أنشطة تفاعلية – أوراق عمل","مشاريع بحثية – مسابقات نافس"))</f>
        <v/>
      </c>
      <c r="G58" s="48" t="inlineStr"/>
      <c r="H58" s="48" t="inlineStr"/>
    </row>
    <row r="59" ht="22" customHeight="1">
      <c r="A59" s="30" t="n">
        <v>55</v>
      </c>
      <c r="B59" s="31">
        <f>'قاعدة الأسماء'!B59</f>
        <v/>
      </c>
      <c r="C59" s="45">
        <f>'الاختبار القبلي'!O60</f>
        <v/>
      </c>
      <c r="D59" s="72">
        <f>IF(C59="ضعيف","خطة علاجية",IF(C59="متوسط","خطة تطويرية","خطة إثرائية"))</f>
        <v/>
      </c>
      <c r="E59" s="73">
        <f>IF(C59="ضعيف","تركيز على: " &amp; 'الواجهة الرئيسية'!B8 &amp; " و " &amp; 'الواجهة الرئيسية'!F8,IF(C59="متوسط","تطوير: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9" s="73">
        <f>IF(C59="ضعيف","تدريبات مكثفة – نماذج سابقة",IF(C59="متوسط","أنشطة تفاعلية – أوراق عمل","مشاريع بحثية – مسابقات نافس"))</f>
        <v/>
      </c>
      <c r="G59" s="32" t="inlineStr"/>
      <c r="H59" s="32" t="inlineStr"/>
    </row>
    <row r="60" ht="22" customHeight="1">
      <c r="A60" s="46" t="n">
        <v>56</v>
      </c>
      <c r="B60" s="47">
        <f>'قاعدة الأسماء'!B60</f>
        <v/>
      </c>
      <c r="C60" s="51">
        <f>'الاختبار القبلي'!O61</f>
        <v/>
      </c>
      <c r="D60" s="74">
        <f>IF(C60="ضعيف","خطة علاجية",IF(C60="متوسط","خطة تطويرية","خطة إثرائية"))</f>
        <v/>
      </c>
      <c r="E60" s="75">
        <f>IF(C60="ضعيف","تركيز على: " &amp; 'الواجهة الرئيسية'!B8 &amp; " و " &amp; 'الواجهة الرئيسية'!F8,IF(C60="متوسط","تطوير: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0" s="75">
        <f>IF(C60="ضعيف","تدريبات مكثفة – نماذج سابقة",IF(C60="متوسط","أنشطة تفاعلية – أوراق عمل","مشاريع بحثية – مسابقات نافس"))</f>
        <v/>
      </c>
      <c r="G60" s="48" t="inlineStr"/>
      <c r="H60" s="48" t="inlineStr"/>
    </row>
    <row r="61" ht="22" customHeight="1">
      <c r="A61" s="30" t="n">
        <v>57</v>
      </c>
      <c r="B61" s="31">
        <f>'قاعدة الأسماء'!B61</f>
        <v/>
      </c>
      <c r="C61" s="45">
        <f>'الاختبار القبلي'!O62</f>
        <v/>
      </c>
      <c r="D61" s="72">
        <f>IF(C61="ضعيف","خطة علاجية",IF(C61="متوسط","خطة تطويرية","خطة إثرائية"))</f>
        <v/>
      </c>
      <c r="E61" s="73">
        <f>IF(C61="ضعيف","تركيز على: " &amp; 'الواجهة الرئيسية'!B8 &amp; " و " &amp; 'الواجهة الرئيسية'!F8,IF(C61="متوسط","تطوير: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1" s="73">
        <f>IF(C61="ضعيف","تدريبات مكثفة – نماذج سابقة",IF(C61="متوسط","أنشطة تفاعلية – أوراق عمل","مشاريع بحثية – مسابقات نافس"))</f>
        <v/>
      </c>
      <c r="G61" s="32" t="inlineStr"/>
      <c r="H61" s="32" t="inlineStr"/>
    </row>
    <row r="62" ht="22" customHeight="1">
      <c r="A62" s="46" t="n">
        <v>58</v>
      </c>
      <c r="B62" s="47">
        <f>'قاعدة الأسماء'!B62</f>
        <v/>
      </c>
      <c r="C62" s="51">
        <f>'الاختبار القبلي'!O63</f>
        <v/>
      </c>
      <c r="D62" s="74">
        <f>IF(C62="ضعيف","خطة علاجية",IF(C62="متوسط","خطة تطويرية","خطة إثرائية"))</f>
        <v/>
      </c>
      <c r="E62" s="75">
        <f>IF(C62="ضعيف","تركيز على: " &amp; 'الواجهة الرئيسية'!B8 &amp; " و " &amp; 'الواجهة الرئيسية'!F8,IF(C62="متوسط","تطوير: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2" s="75">
        <f>IF(C62="ضعيف","تدريبات مكثفة – نماذج سابقة",IF(C62="متوسط","أنشطة تفاعلية – أوراق عمل","مشاريع بحثية – مسابقات نافس"))</f>
        <v/>
      </c>
      <c r="G62" s="48" t="inlineStr"/>
      <c r="H62" s="48" t="inlineStr"/>
    </row>
    <row r="63" ht="22" customHeight="1">
      <c r="A63" s="30" t="n">
        <v>59</v>
      </c>
      <c r="B63" s="31">
        <f>'قاعدة الأسماء'!B63</f>
        <v/>
      </c>
      <c r="C63" s="45">
        <f>'الاختبار القبلي'!O64</f>
        <v/>
      </c>
      <c r="D63" s="72">
        <f>IF(C63="ضعيف","خطة علاجية",IF(C63="متوسط","خطة تطويرية","خطة إثرائية"))</f>
        <v/>
      </c>
      <c r="E63" s="73">
        <f>IF(C63="ضعيف","تركيز على: " &amp; 'الواجهة الرئيسية'!B8 &amp; " و " &amp; 'الواجهة الرئيسية'!F8,IF(C63="متوسط","تطوير: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3" s="73">
        <f>IF(C63="ضعيف","تدريبات مكثفة – نماذج سابقة",IF(C63="متوسط","أنشطة تفاعلية – أوراق عمل","مشاريع بحثية – مسابقات نافس"))</f>
        <v/>
      </c>
      <c r="G63" s="32" t="inlineStr"/>
      <c r="H63" s="32" t="inlineStr"/>
    </row>
    <row r="64" ht="22" customHeight="1">
      <c r="A64" s="46" t="n">
        <v>60</v>
      </c>
      <c r="B64" s="47">
        <f>'قاعدة الأسماء'!B64</f>
        <v/>
      </c>
      <c r="C64" s="51">
        <f>'الاختبار القبلي'!O65</f>
        <v/>
      </c>
      <c r="D64" s="74">
        <f>IF(C64="ضعيف","خطة علاجية",IF(C64="متوسط","خطة تطويرية","خطة إثرائية"))</f>
        <v/>
      </c>
      <c r="E64" s="75">
        <f>IF(C64="ضعيف","تركيز على: " &amp; 'الواجهة الرئيسية'!B8 &amp; " و " &amp; 'الواجهة الرئيسية'!F8,IF(C64="متوسط","تطوير: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4" s="75">
        <f>IF(C64="ضعيف","تدريبات مكثفة – نماذج سابقة",IF(C64="متوسط","أنشطة تفاعلية – أوراق عمل","مشاريع بحثية – مسابقات نافس"))</f>
        <v/>
      </c>
      <c r="G64" s="48" t="inlineStr"/>
      <c r="H64" s="48" t="inlineStr"/>
    </row>
    <row r="65" ht="22" customHeight="1">
      <c r="A65" s="30" t="n">
        <v>61</v>
      </c>
      <c r="B65" s="31">
        <f>'قاعدة الأسماء'!B65</f>
        <v/>
      </c>
      <c r="C65" s="45">
        <f>'الاختبار القبلي'!O66</f>
        <v/>
      </c>
      <c r="D65" s="72">
        <f>IF(C65="ضعيف","خطة علاجية",IF(C65="متوسط","خطة تطويرية","خطة إثرائية"))</f>
        <v/>
      </c>
      <c r="E65" s="73">
        <f>IF(C65="ضعيف","تركيز على: " &amp; 'الواجهة الرئيسية'!B8 &amp; " و " &amp; 'الواجهة الرئيسية'!F8,IF(C65="متوسط","تطوير: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5" s="73">
        <f>IF(C65="ضعيف","تدريبات مكثفة – نماذج سابقة",IF(C65="متوسط","أنشطة تفاعلية – أوراق عمل","مشاريع بحثية – مسابقات نافس"))</f>
        <v/>
      </c>
      <c r="G65" s="32" t="inlineStr"/>
      <c r="H65" s="32" t="inlineStr"/>
    </row>
    <row r="66" ht="22" customHeight="1">
      <c r="A66" s="46" t="n">
        <v>62</v>
      </c>
      <c r="B66" s="47">
        <f>'قاعدة الأسماء'!B66</f>
        <v/>
      </c>
      <c r="C66" s="51">
        <f>'الاختبار القبلي'!O67</f>
        <v/>
      </c>
      <c r="D66" s="74">
        <f>IF(C66="ضعيف","خطة علاجية",IF(C66="متوسط","خطة تطويرية","خطة إثرائية"))</f>
        <v/>
      </c>
      <c r="E66" s="75">
        <f>IF(C66="ضعيف","تركيز على: " &amp; 'الواجهة الرئيسية'!B8 &amp; " و " &amp; 'الواجهة الرئيسية'!F8,IF(C66="متوسط","تطوير: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6" s="75">
        <f>IF(C66="ضعيف","تدريبات مكثفة – نماذج سابقة",IF(C66="متوسط","أنشطة تفاعلية – أوراق عمل","مشاريع بحثية – مسابقات نافس"))</f>
        <v/>
      </c>
      <c r="G66" s="48" t="inlineStr"/>
      <c r="H66" s="48" t="inlineStr"/>
    </row>
    <row r="67" ht="22" customHeight="1">
      <c r="A67" s="30" t="n">
        <v>63</v>
      </c>
      <c r="B67" s="31">
        <f>'قاعدة الأسماء'!B67</f>
        <v/>
      </c>
      <c r="C67" s="45">
        <f>'الاختبار القبلي'!O68</f>
        <v/>
      </c>
      <c r="D67" s="72">
        <f>IF(C67="ضعيف","خطة علاجية",IF(C67="متوسط","خطة تطويرية","خطة إثرائية"))</f>
        <v/>
      </c>
      <c r="E67" s="73">
        <f>IF(C67="ضعيف","تركيز على: " &amp; 'الواجهة الرئيسية'!B8 &amp; " و " &amp; 'الواجهة الرئيسية'!F8,IF(C67="متوسط","تطوير: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7" s="73">
        <f>IF(C67="ضعيف","تدريبات مكثفة – نماذج سابقة",IF(C67="متوسط","أنشطة تفاعلية – أوراق عمل","مشاريع بحثية – مسابقات نافس"))</f>
        <v/>
      </c>
      <c r="G67" s="32" t="inlineStr"/>
      <c r="H67" s="32" t="inlineStr"/>
    </row>
    <row r="68" ht="22" customHeight="1">
      <c r="A68" s="46" t="n">
        <v>64</v>
      </c>
      <c r="B68" s="47">
        <f>'قاعدة الأسماء'!B68</f>
        <v/>
      </c>
      <c r="C68" s="51">
        <f>'الاختبار القبلي'!O69</f>
        <v/>
      </c>
      <c r="D68" s="74">
        <f>IF(C68="ضعيف","خطة علاجية",IF(C68="متوسط","خطة تطويرية","خطة إثرائية"))</f>
        <v/>
      </c>
      <c r="E68" s="75">
        <f>IF(C68="ضعيف","تركيز على: " &amp; 'الواجهة الرئيسية'!B8 &amp; " و " &amp; 'الواجهة الرئيسية'!F8,IF(C68="متوسط","تطوير: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8" s="75">
        <f>IF(C68="ضعيف","تدريبات مكثفة – نماذج سابقة",IF(C68="متوسط","أنشطة تفاعلية – أوراق عمل","مشاريع بحثية – مسابقات نافس"))</f>
        <v/>
      </c>
      <c r="G68" s="48" t="inlineStr"/>
      <c r="H68" s="48" t="inlineStr"/>
    </row>
    <row r="69" ht="22" customHeight="1">
      <c r="A69" s="30" t="n">
        <v>65</v>
      </c>
      <c r="B69" s="31">
        <f>'قاعدة الأسماء'!B69</f>
        <v/>
      </c>
      <c r="C69" s="45">
        <f>'الاختبار القبلي'!O70</f>
        <v/>
      </c>
      <c r="D69" s="72">
        <f>IF(C69="ضعيف","خطة علاجية",IF(C69="متوسط","خطة تطويرية","خطة إثرائية"))</f>
        <v/>
      </c>
      <c r="E69" s="73">
        <f>IF(C69="ضعيف","تركيز على: " &amp; 'الواجهة الرئيسية'!B8 &amp; " و " &amp; 'الواجهة الرئيسية'!F8,IF(C69="متوسط","تطوير: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9" s="73">
        <f>IF(C69="ضعيف","تدريبات مكثفة – نماذج سابقة",IF(C69="متوسط","أنشطة تفاعلية – أوراق عمل","مشاريع بحثية – مسابقات نافس"))</f>
        <v/>
      </c>
      <c r="G69" s="32" t="inlineStr"/>
      <c r="H69" s="32" t="inlineStr"/>
    </row>
    <row r="70" ht="22" customHeight="1">
      <c r="A70" s="46" t="n">
        <v>66</v>
      </c>
      <c r="B70" s="47">
        <f>'قاعدة الأسماء'!B70</f>
        <v/>
      </c>
      <c r="C70" s="51">
        <f>'الاختبار القبلي'!O71</f>
        <v/>
      </c>
      <c r="D70" s="74">
        <f>IF(C70="ضعيف","خطة علاجية",IF(C70="متوسط","خطة تطويرية","خطة إثرائية"))</f>
        <v/>
      </c>
      <c r="E70" s="75">
        <f>IF(C70="ضعيف","تركيز على: " &amp; 'الواجهة الرئيسية'!B8 &amp; " و " &amp; 'الواجهة الرئيسية'!F8,IF(C70="متوسط","تطوير: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0" s="75">
        <f>IF(C70="ضعيف","تدريبات مكثفة – نماذج سابقة",IF(C70="متوسط","أنشطة تفاعلية – أوراق عمل","مشاريع بحثية – مسابقات نافس"))</f>
        <v/>
      </c>
      <c r="G70" s="48" t="inlineStr"/>
      <c r="H70" s="48" t="inlineStr"/>
    </row>
    <row r="71" ht="22" customHeight="1">
      <c r="A71" s="30" t="n">
        <v>67</v>
      </c>
      <c r="B71" s="31">
        <f>'قاعدة الأسماء'!B71</f>
        <v/>
      </c>
      <c r="C71" s="45">
        <f>'الاختبار القبلي'!O72</f>
        <v/>
      </c>
      <c r="D71" s="72">
        <f>IF(C71="ضعيف","خطة علاجية",IF(C71="متوسط","خطة تطويرية","خطة إثرائية"))</f>
        <v/>
      </c>
      <c r="E71" s="73">
        <f>IF(C71="ضعيف","تركيز على: " &amp; 'الواجهة الرئيسية'!B8 &amp; " و " &amp; 'الواجهة الرئيسية'!F8,IF(C71="متوسط","تطوير: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1" s="73">
        <f>IF(C71="ضعيف","تدريبات مكثفة – نماذج سابقة",IF(C71="متوسط","أنشطة تفاعلية – أوراق عمل","مشاريع بحثية – مسابقات نافس"))</f>
        <v/>
      </c>
      <c r="G71" s="32" t="inlineStr"/>
      <c r="H71" s="32" t="inlineStr"/>
    </row>
    <row r="72" ht="22" customHeight="1">
      <c r="A72" s="46" t="n">
        <v>68</v>
      </c>
      <c r="B72" s="47">
        <f>'قاعدة الأسماء'!B72</f>
        <v/>
      </c>
      <c r="C72" s="51">
        <f>'الاختبار القبلي'!O73</f>
        <v/>
      </c>
      <c r="D72" s="74">
        <f>IF(C72="ضعيف","خطة علاجية",IF(C72="متوسط","خطة تطويرية","خطة إثرائية"))</f>
        <v/>
      </c>
      <c r="E72" s="75">
        <f>IF(C72="ضعيف","تركيز على: " &amp; 'الواجهة الرئيسية'!B8 &amp; " و " &amp; 'الواجهة الرئيسية'!F8,IF(C72="متوسط","تطوير: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2" s="75">
        <f>IF(C72="ضعيف","تدريبات مكثفة – نماذج سابقة",IF(C72="متوسط","أنشطة تفاعلية – أوراق عمل","مشاريع بحثية – مسابقات نافس"))</f>
        <v/>
      </c>
      <c r="G72" s="48" t="inlineStr"/>
      <c r="H72" s="48" t="inlineStr"/>
    </row>
    <row r="73" ht="22" customHeight="1">
      <c r="A73" s="30" t="n">
        <v>69</v>
      </c>
      <c r="B73" s="31">
        <f>'قاعدة الأسماء'!B73</f>
        <v/>
      </c>
      <c r="C73" s="45">
        <f>'الاختبار القبلي'!O74</f>
        <v/>
      </c>
      <c r="D73" s="72">
        <f>IF(C73="ضعيف","خطة علاجية",IF(C73="متوسط","خطة تطويرية","خطة إثرائية"))</f>
        <v/>
      </c>
      <c r="E73" s="73">
        <f>IF(C73="ضعيف","تركيز على: " &amp; 'الواجهة الرئيسية'!B8 &amp; " و " &amp; 'الواجهة الرئيسية'!F8,IF(C73="متوسط","تطوير: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3" s="73">
        <f>IF(C73="ضعيف","تدريبات مكثفة – نماذج سابقة",IF(C73="متوسط","أنشطة تفاعلية – أوراق عمل","مشاريع بحثية – مسابقات نافس"))</f>
        <v/>
      </c>
      <c r="G73" s="32" t="inlineStr"/>
      <c r="H73" s="32" t="inlineStr"/>
    </row>
    <row r="74" ht="22" customHeight="1">
      <c r="A74" s="46" t="n">
        <v>70</v>
      </c>
      <c r="B74" s="47">
        <f>'قاعدة الأسماء'!B74</f>
        <v/>
      </c>
      <c r="C74" s="51">
        <f>'الاختبار القبلي'!O75</f>
        <v/>
      </c>
      <c r="D74" s="74">
        <f>IF(C74="ضعيف","خطة علاجية",IF(C74="متوسط","خطة تطويرية","خطة إثرائية"))</f>
        <v/>
      </c>
      <c r="E74" s="75">
        <f>IF(C74="ضعيف","تركيز على: " &amp; 'الواجهة الرئيسية'!B8 &amp; " و " &amp; 'الواجهة الرئيسية'!F8,IF(C74="متوسط","تطوير: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4" s="75">
        <f>IF(C74="ضعيف","تدريبات مكثفة – نماذج سابقة",IF(C74="متوسط","أنشطة تفاعلية – أوراق عمل","مشاريع بحثية – مسابقات نافس"))</f>
        <v/>
      </c>
      <c r="G74" s="48" t="inlineStr"/>
      <c r="H74" s="48" t="inlineStr"/>
    </row>
    <row r="75" ht="22" customHeight="1">
      <c r="A75" s="30" t="n">
        <v>71</v>
      </c>
      <c r="B75" s="31">
        <f>'قاعدة الأسماء'!B75</f>
        <v/>
      </c>
      <c r="C75" s="45">
        <f>'الاختبار القبلي'!O76</f>
        <v/>
      </c>
      <c r="D75" s="72">
        <f>IF(C75="ضعيف","خطة علاجية",IF(C75="متوسط","خطة تطويرية","خطة إثرائية"))</f>
        <v/>
      </c>
      <c r="E75" s="73">
        <f>IF(C75="ضعيف","تركيز على: " &amp; 'الواجهة الرئيسية'!B8 &amp; " و " &amp; 'الواجهة الرئيسية'!F8,IF(C75="متوسط","تطوير: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5" s="73">
        <f>IF(C75="ضعيف","تدريبات مكثفة – نماذج سابقة",IF(C75="متوسط","أنشطة تفاعلية – أوراق عمل","مشاريع بحثية – مسابقات نافس"))</f>
        <v/>
      </c>
      <c r="G75" s="32" t="inlineStr"/>
      <c r="H75" s="32" t="inlineStr"/>
    </row>
    <row r="76" ht="22" customHeight="1">
      <c r="A76" s="46" t="n">
        <v>72</v>
      </c>
      <c r="B76" s="47">
        <f>'قاعدة الأسماء'!B76</f>
        <v/>
      </c>
      <c r="C76" s="51">
        <f>'الاختبار القبلي'!O77</f>
        <v/>
      </c>
      <c r="D76" s="74">
        <f>IF(C76="ضعيف","خطة علاجية",IF(C76="متوسط","خطة تطويرية","خطة إثرائية"))</f>
        <v/>
      </c>
      <c r="E76" s="75">
        <f>IF(C76="ضعيف","تركيز على: " &amp; 'الواجهة الرئيسية'!B8 &amp; " و " &amp; 'الواجهة الرئيسية'!F8,IF(C76="متوسط","تطوير: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6" s="75">
        <f>IF(C76="ضعيف","تدريبات مكثفة – نماذج سابقة",IF(C76="متوسط","أنشطة تفاعلية – أوراق عمل","مشاريع بحثية – مسابقات نافس"))</f>
        <v/>
      </c>
      <c r="G76" s="48" t="inlineStr"/>
      <c r="H76" s="48" t="inlineStr"/>
    </row>
    <row r="77" ht="22" customHeight="1">
      <c r="A77" s="30" t="n">
        <v>73</v>
      </c>
      <c r="B77" s="31">
        <f>'قاعدة الأسماء'!B77</f>
        <v/>
      </c>
      <c r="C77" s="45">
        <f>'الاختبار القبلي'!O78</f>
        <v/>
      </c>
      <c r="D77" s="72">
        <f>IF(C77="ضعيف","خطة علاجية",IF(C77="متوسط","خطة تطويرية","خطة إثرائية"))</f>
        <v/>
      </c>
      <c r="E77" s="73">
        <f>IF(C77="ضعيف","تركيز على: " &amp; 'الواجهة الرئيسية'!B8 &amp; " و " &amp; 'الواجهة الرئيسية'!F8,IF(C77="متوسط","تطوير: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7" s="73">
        <f>IF(C77="ضعيف","تدريبات مكثفة – نماذج سابقة",IF(C77="متوسط","أنشطة تفاعلية – أوراق عمل","مشاريع بحثية – مسابقات نافس"))</f>
        <v/>
      </c>
      <c r="G77" s="32" t="inlineStr"/>
      <c r="H77" s="32" t="inlineStr"/>
    </row>
    <row r="78" ht="22" customHeight="1">
      <c r="A78" s="46" t="n">
        <v>74</v>
      </c>
      <c r="B78" s="47">
        <f>'قاعدة الأسماء'!B78</f>
        <v/>
      </c>
      <c r="C78" s="51">
        <f>'الاختبار القبلي'!O79</f>
        <v/>
      </c>
      <c r="D78" s="74">
        <f>IF(C78="ضعيف","خطة علاجية",IF(C78="متوسط","خطة تطويرية","خطة إثرائية"))</f>
        <v/>
      </c>
      <c r="E78" s="75">
        <f>IF(C78="ضعيف","تركيز على: " &amp; 'الواجهة الرئيسية'!B8 &amp; " و " &amp; 'الواجهة الرئيسية'!F8,IF(C78="متوسط","تطوير: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8" s="75">
        <f>IF(C78="ضعيف","تدريبات مكثفة – نماذج سابقة",IF(C78="متوسط","أنشطة تفاعلية – أوراق عمل","مشاريع بحثية – مسابقات نافس"))</f>
        <v/>
      </c>
      <c r="G78" s="48" t="inlineStr"/>
      <c r="H78" s="48" t="inlineStr"/>
    </row>
    <row r="79" ht="22" customHeight="1">
      <c r="A79" s="30" t="n">
        <v>75</v>
      </c>
      <c r="B79" s="31">
        <f>'قاعدة الأسماء'!B79</f>
        <v/>
      </c>
      <c r="C79" s="45">
        <f>'الاختبار القبلي'!O80</f>
        <v/>
      </c>
      <c r="D79" s="72">
        <f>IF(C79="ضعيف","خطة علاجية",IF(C79="متوسط","خطة تطويرية","خطة إثرائية"))</f>
        <v/>
      </c>
      <c r="E79" s="73">
        <f>IF(C79="ضعيف","تركيز على: " &amp; 'الواجهة الرئيسية'!B8 &amp; " و " &amp; 'الواجهة الرئيسية'!F8,IF(C79="متوسط","تطوير: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9" s="73">
        <f>IF(C79="ضعيف","تدريبات مكثفة – نماذج سابقة",IF(C79="متوسط","أنشطة تفاعلية – أوراق عمل","مشاريع بحثية – مسابقات نافس"))</f>
        <v/>
      </c>
      <c r="G79" s="32" t="inlineStr"/>
      <c r="H79" s="32" t="inlineStr"/>
    </row>
    <row r="80" ht="22" customHeight="1">
      <c r="A80" s="46" t="n">
        <v>76</v>
      </c>
      <c r="B80" s="47">
        <f>'قاعدة الأسماء'!B80</f>
        <v/>
      </c>
      <c r="C80" s="51">
        <f>'الاختبار القبلي'!O81</f>
        <v/>
      </c>
      <c r="D80" s="74">
        <f>IF(C80="ضعيف","خطة علاجية",IF(C80="متوسط","خطة تطويرية","خطة إثرائية"))</f>
        <v/>
      </c>
      <c r="E80" s="75">
        <f>IF(C80="ضعيف","تركيز على: " &amp; 'الواجهة الرئيسية'!B8 &amp; " و " &amp; 'الواجهة الرئيسية'!F8,IF(C80="متوسط","تطوير: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0" s="75">
        <f>IF(C80="ضعيف","تدريبات مكثفة – نماذج سابقة",IF(C80="متوسط","أنشطة تفاعلية – أوراق عمل","مشاريع بحثية – مسابقات نافس"))</f>
        <v/>
      </c>
      <c r="G80" s="48" t="inlineStr"/>
      <c r="H80" s="48" t="inlineStr"/>
    </row>
    <row r="81" ht="22" customHeight="1">
      <c r="A81" s="30" t="n">
        <v>77</v>
      </c>
      <c r="B81" s="31">
        <f>'قاعدة الأسماء'!B81</f>
        <v/>
      </c>
      <c r="C81" s="45">
        <f>'الاختبار القبلي'!O82</f>
        <v/>
      </c>
      <c r="D81" s="72">
        <f>IF(C81="ضعيف","خطة علاجية",IF(C81="متوسط","خطة تطويرية","خطة إثرائية"))</f>
        <v/>
      </c>
      <c r="E81" s="73">
        <f>IF(C81="ضعيف","تركيز على: " &amp; 'الواجهة الرئيسية'!B8 &amp; " و " &amp; 'الواجهة الرئيسية'!F8,IF(C81="متوسط","تطوير: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1" s="73">
        <f>IF(C81="ضعيف","تدريبات مكثفة – نماذج سابقة",IF(C81="متوسط","أنشطة تفاعلية – أوراق عمل","مشاريع بحثية – مسابقات نافس"))</f>
        <v/>
      </c>
      <c r="G81" s="32" t="inlineStr"/>
      <c r="H81" s="32" t="inlineStr"/>
    </row>
    <row r="82" ht="22" customHeight="1">
      <c r="A82" s="46" t="n">
        <v>78</v>
      </c>
      <c r="B82" s="47">
        <f>'قاعدة الأسماء'!B82</f>
        <v/>
      </c>
      <c r="C82" s="51">
        <f>'الاختبار القبلي'!O83</f>
        <v/>
      </c>
      <c r="D82" s="74">
        <f>IF(C82="ضعيف","خطة علاجية",IF(C82="متوسط","خطة تطويرية","خطة إثرائية"))</f>
        <v/>
      </c>
      <c r="E82" s="75">
        <f>IF(C82="ضعيف","تركيز على: " &amp; 'الواجهة الرئيسية'!B8 &amp; " و " &amp; 'الواجهة الرئيسية'!F8,IF(C82="متوسط","تطوير: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2" s="75">
        <f>IF(C82="ضعيف","تدريبات مكثفة – نماذج سابقة",IF(C82="متوسط","أنشطة تفاعلية – أوراق عمل","مشاريع بحثية – مسابقات نافس"))</f>
        <v/>
      </c>
      <c r="G82" s="48" t="inlineStr"/>
      <c r="H82" s="48" t="inlineStr"/>
    </row>
    <row r="83" ht="22" customHeight="1">
      <c r="A83" s="30" t="n">
        <v>79</v>
      </c>
      <c r="B83" s="31">
        <f>'قاعدة الأسماء'!B83</f>
        <v/>
      </c>
      <c r="C83" s="45">
        <f>'الاختبار القبلي'!O84</f>
        <v/>
      </c>
      <c r="D83" s="72">
        <f>IF(C83="ضعيف","خطة علاجية",IF(C83="متوسط","خطة تطويرية","خطة إثرائية"))</f>
        <v/>
      </c>
      <c r="E83" s="73">
        <f>IF(C83="ضعيف","تركيز على: " &amp; 'الواجهة الرئيسية'!B8 &amp; " و " &amp; 'الواجهة الرئيسية'!F8,IF(C83="متوسط","تطوير: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3" s="73">
        <f>IF(C83="ضعيف","تدريبات مكثفة – نماذج سابقة",IF(C83="متوسط","أنشطة تفاعلية – أوراق عمل","مشاريع بحثية – مسابقات نافس"))</f>
        <v/>
      </c>
      <c r="G83" s="32" t="inlineStr"/>
      <c r="H83" s="32" t="inlineStr"/>
    </row>
    <row r="84" ht="22" customHeight="1">
      <c r="A84" s="46" t="n">
        <v>80</v>
      </c>
      <c r="B84" s="47">
        <f>'قاعدة الأسماء'!B84</f>
        <v/>
      </c>
      <c r="C84" s="51">
        <f>'الاختبار القبلي'!O85</f>
        <v/>
      </c>
      <c r="D84" s="74">
        <f>IF(C84="ضعيف","خطة علاجية",IF(C84="متوسط","خطة تطويرية","خطة إثرائية"))</f>
        <v/>
      </c>
      <c r="E84" s="75">
        <f>IF(C84="ضعيف","تركيز على: " &amp; 'الواجهة الرئيسية'!B8 &amp; " و " &amp; 'الواجهة الرئيسية'!F8,IF(C84="متوسط","تطوير: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4" s="75">
        <f>IF(C84="ضعيف","تدريبات مكثفة – نماذج سابقة",IF(C84="متوسط","أنشطة تفاعلية – أوراق عمل","مشاريع بحثية – مسابقات نافس"))</f>
        <v/>
      </c>
      <c r="G84" s="48" t="inlineStr"/>
      <c r="H84" s="48" t="inlineStr"/>
    </row>
    <row r="85" ht="22" customHeight="1">
      <c r="A85" s="30" t="n">
        <v>81</v>
      </c>
      <c r="B85" s="31">
        <f>'قاعدة الأسماء'!B85</f>
        <v/>
      </c>
      <c r="C85" s="45">
        <f>'الاختبار القبلي'!O86</f>
        <v/>
      </c>
      <c r="D85" s="72">
        <f>IF(C85="ضعيف","خطة علاجية",IF(C85="متوسط","خطة تطويرية","خطة إثرائية"))</f>
        <v/>
      </c>
      <c r="E85" s="73">
        <f>IF(C85="ضعيف","تركيز على: " &amp; 'الواجهة الرئيسية'!B8 &amp; " و " &amp; 'الواجهة الرئيسية'!F8,IF(C85="متوسط","تطوير: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5" s="73">
        <f>IF(C85="ضعيف","تدريبات مكثفة – نماذج سابقة",IF(C85="متوسط","أنشطة تفاعلية – أوراق عمل","مشاريع بحثية – مسابقات نافس"))</f>
        <v/>
      </c>
      <c r="G85" s="32" t="inlineStr"/>
      <c r="H85" s="32" t="inlineStr"/>
    </row>
    <row r="86" ht="22" customHeight="1">
      <c r="A86" s="46" t="n">
        <v>82</v>
      </c>
      <c r="B86" s="47">
        <f>'قاعدة الأسماء'!B86</f>
        <v/>
      </c>
      <c r="C86" s="51">
        <f>'الاختبار القبلي'!O87</f>
        <v/>
      </c>
      <c r="D86" s="74">
        <f>IF(C86="ضعيف","خطة علاجية",IF(C86="متوسط","خطة تطويرية","خطة إثرائية"))</f>
        <v/>
      </c>
      <c r="E86" s="75">
        <f>IF(C86="ضعيف","تركيز على: " &amp; 'الواجهة الرئيسية'!B8 &amp; " و " &amp; 'الواجهة الرئيسية'!F8,IF(C86="متوسط","تطوير: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6" s="75">
        <f>IF(C86="ضعيف","تدريبات مكثفة – نماذج سابقة",IF(C86="متوسط","أنشطة تفاعلية – أوراق عمل","مشاريع بحثية – مسابقات نافس"))</f>
        <v/>
      </c>
      <c r="G86" s="48" t="inlineStr"/>
      <c r="H86" s="48" t="inlineStr"/>
    </row>
    <row r="87" ht="22" customHeight="1">
      <c r="A87" s="30" t="n">
        <v>83</v>
      </c>
      <c r="B87" s="31">
        <f>'قاعدة الأسماء'!B87</f>
        <v/>
      </c>
      <c r="C87" s="45">
        <f>'الاختبار القبلي'!O88</f>
        <v/>
      </c>
      <c r="D87" s="72">
        <f>IF(C87="ضعيف","خطة علاجية",IF(C87="متوسط","خطة تطويرية","خطة إثرائية"))</f>
        <v/>
      </c>
      <c r="E87" s="73">
        <f>IF(C87="ضعيف","تركيز على: " &amp; 'الواجهة الرئيسية'!B8 &amp; " و " &amp; 'الواجهة الرئيسية'!F8,IF(C87="متوسط","تطوير: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7" s="73">
        <f>IF(C87="ضعيف","تدريبات مكثفة – نماذج سابقة",IF(C87="متوسط","أنشطة تفاعلية – أوراق عمل","مشاريع بحثية – مسابقات نافس"))</f>
        <v/>
      </c>
      <c r="G87" s="32" t="inlineStr"/>
      <c r="H87" s="32" t="inlineStr"/>
    </row>
    <row r="88" ht="22" customHeight="1">
      <c r="A88" s="46" t="n">
        <v>84</v>
      </c>
      <c r="B88" s="47">
        <f>'قاعدة الأسماء'!B88</f>
        <v/>
      </c>
      <c r="C88" s="51">
        <f>'الاختبار القبلي'!O89</f>
        <v/>
      </c>
      <c r="D88" s="74">
        <f>IF(C88="ضعيف","خطة علاجية",IF(C88="متوسط","خطة تطويرية","خطة إثرائية"))</f>
        <v/>
      </c>
      <c r="E88" s="75">
        <f>IF(C88="ضعيف","تركيز على: " &amp; 'الواجهة الرئيسية'!B8 &amp; " و " &amp; 'الواجهة الرئيسية'!F8,IF(C88="متوسط","تطوير: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8" s="75">
        <f>IF(C88="ضعيف","تدريبات مكثفة – نماذج سابقة",IF(C88="متوسط","أنشطة تفاعلية – أوراق عمل","مشاريع بحثية – مسابقات نافس"))</f>
        <v/>
      </c>
      <c r="G88" s="48" t="inlineStr"/>
      <c r="H88" s="48" t="inlineStr"/>
    </row>
    <row r="89" ht="22" customHeight="1">
      <c r="A89" s="30" t="n">
        <v>85</v>
      </c>
      <c r="B89" s="31">
        <f>'قاعدة الأسماء'!B89</f>
        <v/>
      </c>
      <c r="C89" s="45">
        <f>'الاختبار القبلي'!O90</f>
        <v/>
      </c>
      <c r="D89" s="72">
        <f>IF(C89="ضعيف","خطة علاجية",IF(C89="متوسط","خطة تطويرية","خطة إثرائية"))</f>
        <v/>
      </c>
      <c r="E89" s="73">
        <f>IF(C89="ضعيف","تركيز على: " &amp; 'الواجهة الرئيسية'!B8 &amp; " و " &amp; 'الواجهة الرئيسية'!F8,IF(C89="متوسط","تطوير: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9" s="73">
        <f>IF(C89="ضعيف","تدريبات مكثفة – نماذج سابقة",IF(C89="متوسط","أنشطة تفاعلية – أوراق عمل","مشاريع بحثية – مسابقات نافس"))</f>
        <v/>
      </c>
      <c r="G89" s="32" t="inlineStr"/>
      <c r="H89" s="32" t="inlineStr"/>
    </row>
    <row r="90" ht="22" customHeight="1">
      <c r="A90" s="46" t="n">
        <v>86</v>
      </c>
      <c r="B90" s="47">
        <f>'قاعدة الأسماء'!B90</f>
        <v/>
      </c>
      <c r="C90" s="51">
        <f>'الاختبار القبلي'!O91</f>
        <v/>
      </c>
      <c r="D90" s="74">
        <f>IF(C90="ضعيف","خطة علاجية",IF(C90="متوسط","خطة تطويرية","خطة إثرائية"))</f>
        <v/>
      </c>
      <c r="E90" s="75">
        <f>IF(C90="ضعيف","تركيز على: " &amp; 'الواجهة الرئيسية'!B8 &amp; " و " &amp; 'الواجهة الرئيسية'!F8,IF(C90="متوسط","تطوير: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0" s="75">
        <f>IF(C90="ضعيف","تدريبات مكثفة – نماذج سابقة",IF(C90="متوسط","أنشطة تفاعلية – أوراق عمل","مشاريع بحثية – مسابقات نافس"))</f>
        <v/>
      </c>
      <c r="G90" s="48" t="inlineStr"/>
      <c r="H90" s="48" t="inlineStr"/>
    </row>
    <row r="91" ht="22" customHeight="1">
      <c r="A91" s="30" t="n">
        <v>87</v>
      </c>
      <c r="B91" s="31">
        <f>'قاعدة الأسماء'!B91</f>
        <v/>
      </c>
      <c r="C91" s="45">
        <f>'الاختبار القبلي'!O92</f>
        <v/>
      </c>
      <c r="D91" s="72">
        <f>IF(C91="ضعيف","خطة علاجية",IF(C91="متوسط","خطة تطويرية","خطة إثرائية"))</f>
        <v/>
      </c>
      <c r="E91" s="73">
        <f>IF(C91="ضعيف","تركيز على: " &amp; 'الواجهة الرئيسية'!B8 &amp; " و " &amp; 'الواجهة الرئيسية'!F8,IF(C91="متوسط","تطوير: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1" s="73">
        <f>IF(C91="ضعيف","تدريبات مكثفة – نماذج سابقة",IF(C91="متوسط","أنشطة تفاعلية – أوراق عمل","مشاريع بحثية – مسابقات نافس"))</f>
        <v/>
      </c>
      <c r="G91" s="32" t="inlineStr"/>
      <c r="H91" s="32" t="inlineStr"/>
    </row>
    <row r="92" ht="22" customHeight="1">
      <c r="A92" s="46" t="n">
        <v>88</v>
      </c>
      <c r="B92" s="47">
        <f>'قاعدة الأسماء'!B92</f>
        <v/>
      </c>
      <c r="C92" s="51">
        <f>'الاختبار القبلي'!O93</f>
        <v/>
      </c>
      <c r="D92" s="74">
        <f>IF(C92="ضعيف","خطة علاجية",IF(C92="متوسط","خطة تطويرية","خطة إثرائية"))</f>
        <v/>
      </c>
      <c r="E92" s="75">
        <f>IF(C92="ضعيف","تركيز على: " &amp; 'الواجهة الرئيسية'!B8 &amp; " و " &amp; 'الواجهة الرئيسية'!F8,IF(C92="متوسط","تطوير: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2" s="75">
        <f>IF(C92="ضعيف","تدريبات مكثفة – نماذج سابقة",IF(C92="متوسط","أنشطة تفاعلية – أوراق عمل","مشاريع بحثية – مسابقات نافس"))</f>
        <v/>
      </c>
      <c r="G92" s="48" t="inlineStr"/>
      <c r="H92" s="48" t="inlineStr"/>
    </row>
    <row r="93" ht="22" customHeight="1">
      <c r="A93" s="30" t="n">
        <v>89</v>
      </c>
      <c r="B93" s="31">
        <f>'قاعدة الأسماء'!B93</f>
        <v/>
      </c>
      <c r="C93" s="45">
        <f>'الاختبار القبلي'!O94</f>
        <v/>
      </c>
      <c r="D93" s="72">
        <f>IF(C93="ضعيف","خطة علاجية",IF(C93="متوسط","خطة تطويرية","خطة إثرائية"))</f>
        <v/>
      </c>
      <c r="E93" s="73">
        <f>IF(C93="ضعيف","تركيز على: " &amp; 'الواجهة الرئيسية'!B8 &amp; " و " &amp; 'الواجهة الرئيسية'!F8,IF(C93="متوسط","تطوير: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3" s="73">
        <f>IF(C93="ضعيف","تدريبات مكثفة – نماذج سابقة",IF(C93="متوسط","أنشطة تفاعلية – أوراق عمل","مشاريع بحثية – مسابقات نافس"))</f>
        <v/>
      </c>
      <c r="G93" s="32" t="inlineStr"/>
      <c r="H93" s="32" t="inlineStr"/>
    </row>
    <row r="94" ht="22" customHeight="1">
      <c r="A94" s="46" t="n">
        <v>90</v>
      </c>
      <c r="B94" s="47">
        <f>'قاعدة الأسماء'!B94</f>
        <v/>
      </c>
      <c r="C94" s="51">
        <f>'الاختبار القبلي'!O95</f>
        <v/>
      </c>
      <c r="D94" s="74">
        <f>IF(C94="ضعيف","خطة علاجية",IF(C94="متوسط","خطة تطويرية","خطة إثرائية"))</f>
        <v/>
      </c>
      <c r="E94" s="75">
        <f>IF(C94="ضعيف","تركيز على: " &amp; 'الواجهة الرئيسية'!B8 &amp; " و " &amp; 'الواجهة الرئيسية'!F8,IF(C94="متوسط","تطوير: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4" s="75">
        <f>IF(C94="ضعيف","تدريبات مكثفة – نماذج سابقة",IF(C94="متوسط","أنشطة تفاعلية – أوراق عمل","مشاريع بحثية – مسابقات نافس"))</f>
        <v/>
      </c>
      <c r="G94" s="48" t="inlineStr"/>
      <c r="H94" s="48" t="inlineStr"/>
    </row>
    <row r="95" ht="22" customHeight="1">
      <c r="A95" s="30" t="n">
        <v>91</v>
      </c>
      <c r="B95" s="31">
        <f>'قاعدة الأسماء'!B95</f>
        <v/>
      </c>
      <c r="C95" s="45">
        <f>'الاختبار القبلي'!O96</f>
        <v/>
      </c>
      <c r="D95" s="72">
        <f>IF(C95="ضعيف","خطة علاجية",IF(C95="متوسط","خطة تطويرية","خطة إثرائية"))</f>
        <v/>
      </c>
      <c r="E95" s="73">
        <f>IF(C95="ضعيف","تركيز على: " &amp; 'الواجهة الرئيسية'!B8 &amp; " و " &amp; 'الواجهة الرئيسية'!F8,IF(C95="متوسط","تطوير: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5" s="73">
        <f>IF(C95="ضعيف","تدريبات مكثفة – نماذج سابقة",IF(C95="متوسط","أنشطة تفاعلية – أوراق عمل","مشاريع بحثية – مسابقات نافس"))</f>
        <v/>
      </c>
      <c r="G95" s="32" t="inlineStr"/>
      <c r="H95" s="32" t="inlineStr"/>
    </row>
    <row r="96" ht="22" customHeight="1">
      <c r="A96" s="46" t="n">
        <v>92</v>
      </c>
      <c r="B96" s="47">
        <f>'قاعدة الأسماء'!B96</f>
        <v/>
      </c>
      <c r="C96" s="51">
        <f>'الاختبار القبلي'!O97</f>
        <v/>
      </c>
      <c r="D96" s="74">
        <f>IF(C96="ضعيف","خطة علاجية",IF(C96="متوسط","خطة تطويرية","خطة إثرائية"))</f>
        <v/>
      </c>
      <c r="E96" s="75">
        <f>IF(C96="ضعيف","تركيز على: " &amp; 'الواجهة الرئيسية'!B8 &amp; " و " &amp; 'الواجهة الرئيسية'!F8,IF(C96="متوسط","تطوير: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6" s="75">
        <f>IF(C96="ضعيف","تدريبات مكثفة – نماذج سابقة",IF(C96="متوسط","أنشطة تفاعلية – أوراق عمل","مشاريع بحثية – مسابقات نافس"))</f>
        <v/>
      </c>
      <c r="G96" s="48" t="inlineStr"/>
      <c r="H96" s="48" t="inlineStr"/>
    </row>
    <row r="97" ht="22" customHeight="1">
      <c r="A97" s="30" t="n">
        <v>93</v>
      </c>
      <c r="B97" s="31">
        <f>'قاعدة الأسماء'!B97</f>
        <v/>
      </c>
      <c r="C97" s="45">
        <f>'الاختبار القبلي'!O98</f>
        <v/>
      </c>
      <c r="D97" s="72">
        <f>IF(C97="ضعيف","خطة علاجية",IF(C97="متوسط","خطة تطويرية","خطة إثرائية"))</f>
        <v/>
      </c>
      <c r="E97" s="73">
        <f>IF(C97="ضعيف","تركيز على: " &amp; 'الواجهة الرئيسية'!B8 &amp; " و " &amp; 'الواجهة الرئيسية'!F8,IF(C97="متوسط","تطوير: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7" s="73">
        <f>IF(C97="ضعيف","تدريبات مكثفة – نماذج سابقة",IF(C97="متوسط","أنشطة تفاعلية – أوراق عمل","مشاريع بحثية – مسابقات نافس"))</f>
        <v/>
      </c>
      <c r="G97" s="32" t="inlineStr"/>
      <c r="H97" s="32" t="inlineStr"/>
    </row>
    <row r="98" ht="22" customHeight="1">
      <c r="A98" s="46" t="n">
        <v>94</v>
      </c>
      <c r="B98" s="47">
        <f>'قاعدة الأسماء'!B98</f>
        <v/>
      </c>
      <c r="C98" s="51">
        <f>'الاختبار القبلي'!O99</f>
        <v/>
      </c>
      <c r="D98" s="74">
        <f>IF(C98="ضعيف","خطة علاجية",IF(C98="متوسط","خطة تطويرية","خطة إثرائية"))</f>
        <v/>
      </c>
      <c r="E98" s="75">
        <f>IF(C98="ضعيف","تركيز على: " &amp; 'الواجهة الرئيسية'!B8 &amp; " و " &amp; 'الواجهة الرئيسية'!F8,IF(C98="متوسط","تطوير: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8" s="75">
        <f>IF(C98="ضعيف","تدريبات مكثفة – نماذج سابقة",IF(C98="متوسط","أنشطة تفاعلية – أوراق عمل","مشاريع بحثية – مسابقات نافس"))</f>
        <v/>
      </c>
      <c r="G98" s="48" t="inlineStr"/>
      <c r="H98" s="48" t="inlineStr"/>
    </row>
    <row r="99" ht="22" customHeight="1">
      <c r="A99" s="30" t="n">
        <v>95</v>
      </c>
      <c r="B99" s="31">
        <f>'قاعدة الأسماء'!B99</f>
        <v/>
      </c>
      <c r="C99" s="45">
        <f>'الاختبار القبلي'!O100</f>
        <v/>
      </c>
      <c r="D99" s="72">
        <f>IF(C99="ضعيف","خطة علاجية",IF(C99="متوسط","خطة تطويرية","خطة إثرائية"))</f>
        <v/>
      </c>
      <c r="E99" s="73">
        <f>IF(C99="ضعيف","تركيز على: " &amp; 'الواجهة الرئيسية'!B8 &amp; " و " &amp; 'الواجهة الرئيسية'!F8,IF(C99="متوسط","تطوير: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9" s="73">
        <f>IF(C99="ضعيف","تدريبات مكثفة – نماذج سابقة",IF(C99="متوسط","أنشطة تفاعلية – أوراق عمل","مشاريع بحثية – مسابقات نافس"))</f>
        <v/>
      </c>
      <c r="G99" s="32" t="inlineStr"/>
      <c r="H99" s="32" t="inlineStr"/>
    </row>
    <row r="100" ht="22" customHeight="1">
      <c r="A100" s="46" t="n">
        <v>96</v>
      </c>
      <c r="B100" s="47">
        <f>'قاعدة الأسماء'!B100</f>
        <v/>
      </c>
      <c r="C100" s="51">
        <f>'الاختبار القبلي'!O101</f>
        <v/>
      </c>
      <c r="D100" s="74">
        <f>IF(C100="ضعيف","خطة علاجية",IF(C100="متوسط","خطة تطويرية","خطة إثرائية"))</f>
        <v/>
      </c>
      <c r="E100" s="75">
        <f>IF(C100="ضعيف","تركيز على: " &amp; 'الواجهة الرئيسية'!B8 &amp; " و " &amp; 'الواجهة الرئيسية'!F8,IF(C100="متوسط","تطوير: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00" s="75">
        <f>IF(C100="ضعيف","تدريبات مكثفة – نماذج سابقة",IF(C100="متوسط","أنشطة تفاعلية – أوراق عمل","مشاريع بحثية – مسابقات نافس"))</f>
        <v/>
      </c>
      <c r="G100" s="48" t="inlineStr"/>
      <c r="H100" s="48" t="inlineStr"/>
    </row>
    <row r="101" ht="22" customHeight="1">
      <c r="A101" s="30" t="n">
        <v>97</v>
      </c>
      <c r="B101" s="31">
        <f>'قاعدة الأسماء'!B101</f>
        <v/>
      </c>
      <c r="C101" s="45">
        <f>'الاختبار القبلي'!O102</f>
        <v/>
      </c>
      <c r="D101" s="72">
        <f>IF(C101="ضعيف","خطة علاجية",IF(C101="متوسط","خطة تطويرية","خطة إثرائية"))</f>
        <v/>
      </c>
      <c r="E101" s="73">
        <f>IF(C101="ضعيف","تركيز على: " &amp; 'الواجهة الرئيسية'!B8 &amp; " و " &amp; 'الواجهة الرئيسية'!F8,IF(C101="متوسط","تطوير: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01" s="73">
        <f>IF(C101="ضعيف","تدريبات مكثفة – نماذج سابقة",IF(C101="متوسط","أنشطة تفاعلية – أوراق عمل","مشاريع بحثية – مسابقات نافس"))</f>
        <v/>
      </c>
      <c r="G101" s="32" t="inlineStr"/>
      <c r="H101" s="32" t="inlineStr"/>
    </row>
    <row r="102" ht="22" customHeight="1">
      <c r="A102" s="46" t="n">
        <v>98</v>
      </c>
      <c r="B102" s="47">
        <f>'قاعدة الأسماء'!B102</f>
        <v/>
      </c>
      <c r="C102" s="51">
        <f>'الاختبار القبلي'!O103</f>
        <v/>
      </c>
      <c r="D102" s="74">
        <f>IF(C102="ضعيف","خطة علاجية",IF(C102="متوسط","خطة تطويرية","خطة إثرائية"))</f>
        <v/>
      </c>
      <c r="E102" s="75">
        <f>IF(C102="ضعيف","تركيز على: " &amp; 'الواجهة الرئيسية'!B8 &amp; " و " &amp; 'الواجهة الرئيسية'!F8,IF(C102="متوسط","تطوير: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02" s="75">
        <f>IF(C102="ضعيف","تدريبات مكثفة – نماذج سابقة",IF(C102="متوسط","أنشطة تفاعلية – أوراق عمل","مشاريع بحثية – مسابقات نافس"))</f>
        <v/>
      </c>
      <c r="G102" s="48" t="inlineStr"/>
      <c r="H102" s="48" t="inlineStr"/>
    </row>
    <row r="103" ht="22" customHeight="1">
      <c r="A103" s="30" t="n">
        <v>99</v>
      </c>
      <c r="B103" s="31">
        <f>'قاعدة الأسماء'!B103</f>
        <v/>
      </c>
      <c r="C103" s="45">
        <f>'الاختبار القبلي'!O104</f>
        <v/>
      </c>
      <c r="D103" s="72">
        <f>IF(C103="ضعيف","خطة علاجية",IF(C103="متوسط","خطة تطويرية","خطة إثرائية"))</f>
        <v/>
      </c>
      <c r="E103" s="73">
        <f>IF(C103="ضعيف","تركيز على: " &amp; 'الواجهة الرئيسية'!B8 &amp; " و " &amp; 'الواجهة الرئيسية'!F8,IF(C103="متوسط","تطوير: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03" s="73">
        <f>IF(C103="ضعيف","تدريبات مكثفة – نماذج سابقة",IF(C103="متوسط","أنشطة تفاعلية – أوراق عمل","مشاريع بحثية – مسابقات نافس"))</f>
        <v/>
      </c>
      <c r="G103" s="32" t="inlineStr"/>
      <c r="H103" s="32" t="inlineStr"/>
    </row>
  </sheetData>
  <mergeCells count="2">
    <mergeCell ref="A3:H3"/>
    <mergeCell ref="A2:H2"/>
  </mergeCells>
  <conditionalFormatting sqref="C5:C103">
    <cfRule type="expression" priority="1" dxfId="0">
      <formula>=C5="ممتاز"</formula>
    </cfRule>
    <cfRule type="expression" priority="2" dxfId="1">
      <formula>=C5="متوسط"</formula>
    </cfRule>
    <cfRule type="expression" priority="3" dxfId="2">
      <formula>=C5="ضعيف"</formula>
    </cfRule>
  </conditionalFormatting>
  <conditionalFormatting sqref="D5:D103">
    <cfRule type="expression" priority="4" dxfId="2">
      <formula>=D5="خطة علاجية"</formula>
    </cfRule>
    <cfRule type="expression" priority="5" dxfId="0">
      <formula>=D5="خطة إثرائية"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A0572"/>
    <outlinePr summaryBelow="1" summaryRight="1"/>
    <pageSetUpPr/>
  </sheetPr>
  <dimension ref="A2:N117"/>
  <sheetViews>
    <sheetView rightToLeft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2" customWidth="1" min="13" max="13"/>
    <col width="13" customWidth="1" min="14" max="14"/>
  </cols>
  <sheetData>
    <row r="2" ht="55" customHeight="1">
      <c r="A2" s="76" t="inlineStr">
        <is>
          <t>تدريبات نافس والخطة التدريبية لرفع نواتج التعلم</t>
        </is>
      </c>
    </row>
    <row r="3" ht="30" customHeight="1">
      <c r="A3" s="28" t="inlineStr">
        <is>
          <t>اختبارات نافس التدريبية | الخطة التدريبية | تتبع التقدم</t>
        </is>
      </c>
    </row>
    <row r="4" ht="46" customHeight="1">
      <c r="A4" s="77" t="inlineStr">
        <is>
          <t>م</t>
        </is>
      </c>
      <c r="B4" s="77" t="inlineStr">
        <is>
          <t>اسم الطالبة</t>
        </is>
      </c>
      <c r="C4" s="78">
        <f>"تدريب 1 " &amp; CHAR(10) &amp; 'الواجهة الرئيسية'!B8</f>
        <v/>
      </c>
      <c r="D4" s="78">
        <f>"تدريب 2 " &amp; CHAR(10) &amp; 'الواجهة الرئيسية'!D8</f>
        <v/>
      </c>
      <c r="E4" s="78">
        <f>"تدريب 3 " &amp; CHAR(10) &amp; 'الواجهة الرئيسية'!F8</f>
        <v/>
      </c>
      <c r="F4" s="78">
        <f>"تدريب 4 " &amp; CHAR(10) &amp; 'الواجهة الرئيسية'!H8</f>
        <v/>
      </c>
      <c r="G4" s="78">
        <f>"تدريب 5 " &amp; CHAR(10) &amp; 'الواجهة الرئيسية'!J8</f>
        <v/>
      </c>
      <c r="H4" s="78">
        <f>"تدريب 6 " &amp; CHAR(10) &amp; 'الواجهة الرئيسية'!B20</f>
        <v/>
      </c>
      <c r="I4" s="78">
        <f>"تدريب 7 " &amp; CHAR(10) &amp; 'الواجهة الرئيسية'!D20</f>
        <v/>
      </c>
      <c r="J4" s="78">
        <f>"تدريب 8 " &amp; CHAR(10) &amp; 'الواجهة الرئيسية'!F20</f>
        <v/>
      </c>
      <c r="K4" s="78">
        <f>"تدريب 9 " &amp; CHAR(10) &amp; 'الواجهة الرئيسية'!H20</f>
        <v/>
      </c>
      <c r="L4" s="78">
        <f>"تدريب 10 " &amp; CHAR(10) &amp; 'الواجهة الرئيسية'!J20</f>
        <v/>
      </c>
      <c r="M4" s="77" t="inlineStr">
        <is>
          <t>المجموع</t>
        </is>
      </c>
      <c r="N4" s="77" t="inlineStr">
        <is>
          <t>التقدم</t>
        </is>
      </c>
    </row>
    <row r="5" ht="18" customHeight="1">
      <c r="A5" s="79" t="n">
        <v>1</v>
      </c>
      <c r="B5" s="31">
        <f>'قاعدة الأسماء'!B5</f>
        <v/>
      </c>
      <c r="C5" s="32" t="n">
        <v>9</v>
      </c>
      <c r="D5" s="32" t="n">
        <v>8</v>
      </c>
      <c r="E5" s="32" t="n">
        <v>8</v>
      </c>
      <c r="F5" s="32" t="n">
        <v>7</v>
      </c>
      <c r="G5" s="32" t="n">
        <v>9</v>
      </c>
      <c r="H5" s="32" t="n">
        <v>10</v>
      </c>
      <c r="I5" s="32" t="n">
        <v>9</v>
      </c>
      <c r="J5" s="32" t="n">
        <v>9</v>
      </c>
      <c r="K5" s="32" t="n">
        <v>10</v>
      </c>
      <c r="L5" s="32" t="n">
        <v>9</v>
      </c>
      <c r="M5" s="80">
        <f>IF(COUNT(C5:L5)=0,"",SUM(C5:L5))</f>
        <v/>
      </c>
      <c r="N5" s="45">
        <f>IF(M5="","",IF(M5&lt;50,"يحتاج دعماً",IF(M5&lt;75,"جيد","ممتاز")))</f>
        <v/>
      </c>
    </row>
    <row r="6" ht="18" customHeight="1">
      <c r="A6" s="81" t="n">
        <v>2</v>
      </c>
      <c r="B6" s="82">
        <f>'قاعدة الأسماء'!B6</f>
        <v/>
      </c>
      <c r="C6" s="83" t="n">
        <v>10</v>
      </c>
      <c r="D6" s="83" t="n">
        <v>10</v>
      </c>
      <c r="E6" s="83" t="n">
        <v>8</v>
      </c>
      <c r="F6" s="83" t="n">
        <v>8</v>
      </c>
      <c r="G6" s="83" t="n">
        <v>9</v>
      </c>
      <c r="H6" s="83" t="n">
        <v>9</v>
      </c>
      <c r="I6" s="83" t="n">
        <v>9</v>
      </c>
      <c r="J6" s="83" t="n">
        <v>7</v>
      </c>
      <c r="K6" s="83" t="n">
        <v>8</v>
      </c>
      <c r="L6" s="83" t="n">
        <v>9</v>
      </c>
      <c r="M6" s="84">
        <f>IF(COUNT(C6:L6)=0,"",SUM(C6:L6))</f>
        <v/>
      </c>
      <c r="N6" s="85">
        <f>IF(M6="","",IF(M6&lt;50,"يحتاج دعماً",IF(M6&lt;75,"جيد","ممتاز")))</f>
        <v/>
      </c>
    </row>
    <row r="7" ht="18" customHeight="1">
      <c r="A7" s="79" t="n">
        <v>3</v>
      </c>
      <c r="B7" s="31">
        <f>'قاعدة الأسماء'!B7</f>
        <v/>
      </c>
      <c r="C7" s="32" t="n">
        <v>10</v>
      </c>
      <c r="D7" s="32" t="n">
        <v>9</v>
      </c>
      <c r="E7" s="32" t="n">
        <v>10</v>
      </c>
      <c r="F7" s="32" t="n">
        <v>10</v>
      </c>
      <c r="G7" s="32" t="n">
        <v>9</v>
      </c>
      <c r="H7" s="32" t="n">
        <v>10</v>
      </c>
      <c r="I7" s="32" t="n">
        <v>10</v>
      </c>
      <c r="J7" s="32" t="n">
        <v>8</v>
      </c>
      <c r="K7" s="32" t="n">
        <v>10</v>
      </c>
      <c r="L7" s="32" t="n">
        <v>10</v>
      </c>
      <c r="M7" s="80">
        <f>IF(COUNT(C7:L7)=0,"",SUM(C7:L7))</f>
        <v/>
      </c>
      <c r="N7" s="45">
        <f>IF(M7="","",IF(M7&lt;50,"يحتاج دعماً",IF(M7&lt;75,"جيد","ممتاز")))</f>
        <v/>
      </c>
    </row>
    <row r="8" ht="18" customHeight="1">
      <c r="A8" s="81" t="n">
        <v>4</v>
      </c>
      <c r="B8" s="82">
        <f>'قاعدة الأسماء'!B8</f>
        <v/>
      </c>
      <c r="C8" s="83" t="n">
        <v>10</v>
      </c>
      <c r="D8" s="83" t="n">
        <v>10</v>
      </c>
      <c r="E8" s="83" t="n">
        <v>10</v>
      </c>
      <c r="F8" s="83" t="n">
        <v>8</v>
      </c>
      <c r="G8" s="83" t="n">
        <v>9</v>
      </c>
      <c r="H8" s="83" t="n">
        <v>10</v>
      </c>
      <c r="I8" s="83" t="n">
        <v>10</v>
      </c>
      <c r="J8" s="83" t="n">
        <v>8</v>
      </c>
      <c r="K8" s="83" t="n">
        <v>9</v>
      </c>
      <c r="L8" s="83" t="n">
        <v>10</v>
      </c>
      <c r="M8" s="84">
        <f>IF(COUNT(C8:L8)=0,"",SUM(C8:L8))</f>
        <v/>
      </c>
      <c r="N8" s="85">
        <f>IF(M8="","",IF(M8&lt;50,"يحتاج دعماً",IF(M8&lt;75,"جيد","ممتاز")))</f>
        <v/>
      </c>
    </row>
    <row r="9" ht="18" customHeight="1">
      <c r="A9" s="79" t="n">
        <v>5</v>
      </c>
      <c r="B9" s="31">
        <f>'قاعدة الأسماء'!B9</f>
        <v/>
      </c>
      <c r="C9" s="32" t="n">
        <v>10</v>
      </c>
      <c r="D9" s="32" t="n">
        <v>10</v>
      </c>
      <c r="E9" s="32" t="n">
        <v>9</v>
      </c>
      <c r="F9" s="32" t="n">
        <v>9</v>
      </c>
      <c r="G9" s="32" t="n">
        <v>10</v>
      </c>
      <c r="H9" s="32" t="n">
        <v>9</v>
      </c>
      <c r="I9" s="32" t="n">
        <v>8</v>
      </c>
      <c r="J9" s="32" t="n">
        <v>10</v>
      </c>
      <c r="K9" s="32" t="n">
        <v>10</v>
      </c>
      <c r="L9" s="32" t="n">
        <v>10</v>
      </c>
      <c r="M9" s="80">
        <f>IF(COUNT(C9:L9)=0,"",SUM(C9:L9))</f>
        <v/>
      </c>
      <c r="N9" s="45">
        <f>IF(M9="","",IF(M9&lt;50,"يحتاج دعماً",IF(M9&lt;75,"جيد","ممتاز")))</f>
        <v/>
      </c>
    </row>
    <row r="10" ht="18" customHeight="1">
      <c r="A10" s="81" t="n">
        <v>6</v>
      </c>
      <c r="B10" s="82">
        <f>'قاعدة الأسماء'!B10</f>
        <v/>
      </c>
      <c r="C10" s="83" t="n">
        <v>9</v>
      </c>
      <c r="D10" s="83" t="n">
        <v>10</v>
      </c>
      <c r="E10" s="83" t="n">
        <v>7</v>
      </c>
      <c r="F10" s="83" t="n">
        <v>8</v>
      </c>
      <c r="G10" s="83" t="n">
        <v>10</v>
      </c>
      <c r="H10" s="83" t="n">
        <v>10</v>
      </c>
      <c r="I10" s="83" t="n">
        <v>9</v>
      </c>
      <c r="J10" s="83" t="n">
        <v>9</v>
      </c>
      <c r="K10" s="83" t="n">
        <v>10</v>
      </c>
      <c r="L10" s="83" t="n">
        <v>9</v>
      </c>
      <c r="M10" s="84">
        <f>IF(COUNT(C10:L10)=0,"",SUM(C10:L10))</f>
        <v/>
      </c>
      <c r="N10" s="85">
        <f>IF(M10="","",IF(M10&lt;50,"يحتاج دعماً",IF(M10&lt;75,"جيد","ممتاز")))</f>
        <v/>
      </c>
    </row>
    <row r="11" ht="18" customHeight="1">
      <c r="A11" s="79" t="n">
        <v>7</v>
      </c>
      <c r="B11" s="31">
        <f>'قاعدة الأسماء'!B11</f>
        <v/>
      </c>
      <c r="C11" s="32" t="n">
        <v>10</v>
      </c>
      <c r="D11" s="32" t="n">
        <v>10</v>
      </c>
      <c r="E11" s="32" t="n">
        <v>7</v>
      </c>
      <c r="F11" s="32" t="n">
        <v>8</v>
      </c>
      <c r="G11" s="32" t="n">
        <v>9</v>
      </c>
      <c r="H11" s="32" t="n">
        <v>8</v>
      </c>
      <c r="I11" s="32" t="n">
        <v>9</v>
      </c>
      <c r="J11" s="32" t="n">
        <v>9</v>
      </c>
      <c r="K11" s="32" t="n">
        <v>7</v>
      </c>
      <c r="L11" s="32" t="n">
        <v>9</v>
      </c>
      <c r="M11" s="80">
        <f>IF(COUNT(C11:L11)=0,"",SUM(C11:L11))</f>
        <v/>
      </c>
      <c r="N11" s="45">
        <f>IF(M11="","",IF(M11&lt;50,"يحتاج دعماً",IF(M11&lt;75,"جيد","ممتاز")))</f>
        <v/>
      </c>
    </row>
    <row r="12" ht="18" customHeight="1">
      <c r="A12" s="81" t="n">
        <v>8</v>
      </c>
      <c r="B12" s="82">
        <f>'قاعدة الأسماء'!B12</f>
        <v/>
      </c>
      <c r="C12" s="83" t="n">
        <v>9</v>
      </c>
      <c r="D12" s="83" t="n">
        <v>9</v>
      </c>
      <c r="E12" s="83" t="n">
        <v>7</v>
      </c>
      <c r="F12" s="83" t="n">
        <v>8</v>
      </c>
      <c r="G12" s="83" t="n">
        <v>10</v>
      </c>
      <c r="H12" s="83" t="n">
        <v>9</v>
      </c>
      <c r="I12" s="83" t="n">
        <v>9</v>
      </c>
      <c r="J12" s="83" t="n">
        <v>9</v>
      </c>
      <c r="K12" s="83" t="n">
        <v>10</v>
      </c>
      <c r="L12" s="83" t="n">
        <v>9</v>
      </c>
      <c r="M12" s="84">
        <f>IF(COUNT(C12:L12)=0,"",SUM(C12:L12))</f>
        <v/>
      </c>
      <c r="N12" s="85">
        <f>IF(M12="","",IF(M12&lt;50,"يحتاج دعماً",IF(M12&lt;75,"جيد","ممتاز")))</f>
        <v/>
      </c>
    </row>
    <row r="13" ht="18" customHeight="1">
      <c r="A13" s="79" t="n">
        <v>9</v>
      </c>
      <c r="B13" s="31">
        <f>'قاعدة الأسماء'!B13</f>
        <v/>
      </c>
      <c r="C13" s="32" t="n">
        <v>10</v>
      </c>
      <c r="D13" s="32" t="n">
        <v>10</v>
      </c>
      <c r="E13" s="32" t="n">
        <v>8</v>
      </c>
      <c r="F13" s="32" t="n">
        <v>9</v>
      </c>
      <c r="G13" s="32" t="n">
        <v>9</v>
      </c>
      <c r="H13" s="32" t="n">
        <v>10</v>
      </c>
      <c r="I13" s="32" t="n">
        <v>10</v>
      </c>
      <c r="J13" s="32" t="n">
        <v>8</v>
      </c>
      <c r="K13" s="32" t="n">
        <v>9</v>
      </c>
      <c r="L13" s="32" t="n">
        <v>10</v>
      </c>
      <c r="M13" s="80">
        <f>IF(COUNT(C13:L13)=0,"",SUM(C13:L13))</f>
        <v/>
      </c>
      <c r="N13" s="45">
        <f>IF(M13="","",IF(M13&lt;50,"يحتاج دعماً",IF(M13&lt;75,"جيد","ممتاز")))</f>
        <v/>
      </c>
    </row>
    <row r="14" ht="18" customHeight="1">
      <c r="A14" s="81" t="n">
        <v>10</v>
      </c>
      <c r="B14" s="82">
        <f>'قاعدة الأسماء'!B14</f>
        <v/>
      </c>
      <c r="C14" s="83" t="n">
        <v>10</v>
      </c>
      <c r="D14" s="83" t="n">
        <v>8</v>
      </c>
      <c r="E14" s="83" t="n">
        <v>7</v>
      </c>
      <c r="F14" s="83" t="n">
        <v>9</v>
      </c>
      <c r="G14" s="83" t="n">
        <v>9</v>
      </c>
      <c r="H14" s="83" t="n">
        <v>10</v>
      </c>
      <c r="I14" s="83" t="n">
        <v>10</v>
      </c>
      <c r="J14" s="83" t="n">
        <v>8</v>
      </c>
      <c r="K14" s="83" t="n">
        <v>9</v>
      </c>
      <c r="L14" s="83" t="n">
        <v>10</v>
      </c>
      <c r="M14" s="84">
        <f>IF(COUNT(C14:L14)=0,"",SUM(C14:L14))</f>
        <v/>
      </c>
      <c r="N14" s="85">
        <f>IF(M14="","",IF(M14&lt;50,"يحتاج دعماً",IF(M14&lt;75,"جيد","ممتاز")))</f>
        <v/>
      </c>
    </row>
    <row r="15" ht="18" customHeight="1">
      <c r="A15" s="79" t="n">
        <v>11</v>
      </c>
      <c r="B15" s="31">
        <f>'قاعدة الأسماء'!B15</f>
        <v/>
      </c>
      <c r="C15" s="32" t="n">
        <v>10</v>
      </c>
      <c r="D15" s="32" t="n">
        <v>9</v>
      </c>
      <c r="E15" s="32" t="n">
        <v>7</v>
      </c>
      <c r="F15" s="32" t="n">
        <v>8</v>
      </c>
      <c r="G15" s="32" t="n">
        <v>9</v>
      </c>
      <c r="H15" s="32" t="n">
        <v>8</v>
      </c>
      <c r="I15" s="32" t="n">
        <v>10</v>
      </c>
      <c r="J15" s="32" t="n">
        <v>9</v>
      </c>
      <c r="K15" s="32" t="n">
        <v>10</v>
      </c>
      <c r="L15" s="32" t="n">
        <v>10</v>
      </c>
      <c r="M15" s="80">
        <f>IF(COUNT(C15:L15)=0,"",SUM(C15:L15))</f>
        <v/>
      </c>
      <c r="N15" s="45">
        <f>IF(M15="","",IF(M15&lt;50,"يحتاج دعماً",IF(M15&lt;75,"جيد","ممتاز")))</f>
        <v/>
      </c>
    </row>
    <row r="16" ht="18" customHeight="1">
      <c r="A16" s="81" t="n">
        <v>12</v>
      </c>
      <c r="B16" s="82">
        <f>'قاعدة الأسماء'!B16</f>
        <v/>
      </c>
      <c r="C16" s="83" t="n">
        <v>10</v>
      </c>
      <c r="D16" s="83" t="n">
        <v>10</v>
      </c>
      <c r="E16" s="83" t="n">
        <v>9</v>
      </c>
      <c r="F16" s="83" t="n">
        <v>10</v>
      </c>
      <c r="G16" s="83" t="n">
        <v>10</v>
      </c>
      <c r="H16" s="83" t="n">
        <v>10</v>
      </c>
      <c r="I16" s="83" t="n">
        <v>9</v>
      </c>
      <c r="J16" s="83" t="n">
        <v>9</v>
      </c>
      <c r="K16" s="83" t="n">
        <v>10</v>
      </c>
      <c r="L16" s="83" t="n">
        <v>10</v>
      </c>
      <c r="M16" s="84">
        <f>IF(COUNT(C16:L16)=0,"",SUM(C16:L16))</f>
        <v/>
      </c>
      <c r="N16" s="85">
        <f>IF(M16="","",IF(M16&lt;50,"يحتاج دعماً",IF(M16&lt;75,"جيد","ممتاز")))</f>
        <v/>
      </c>
    </row>
    <row r="17" ht="18" customHeight="1">
      <c r="A17" s="79" t="n">
        <v>13</v>
      </c>
      <c r="B17" s="31">
        <f>'قاعدة الأسماء'!B17</f>
        <v/>
      </c>
      <c r="C17" s="32" t="n">
        <v>8</v>
      </c>
      <c r="D17" s="32" t="n">
        <v>10</v>
      </c>
      <c r="E17" s="32" t="n">
        <v>7</v>
      </c>
      <c r="F17" s="32" t="n">
        <v>9</v>
      </c>
      <c r="G17" s="32" t="n">
        <v>10</v>
      </c>
      <c r="H17" s="32" t="n">
        <v>10</v>
      </c>
      <c r="I17" s="32" t="n">
        <v>10</v>
      </c>
      <c r="J17" s="32" t="n">
        <v>9</v>
      </c>
      <c r="K17" s="32" t="n">
        <v>10</v>
      </c>
      <c r="L17" s="32" t="n">
        <v>8</v>
      </c>
      <c r="M17" s="80">
        <f>IF(COUNT(C17:L17)=0,"",SUM(C17:L17))</f>
        <v/>
      </c>
      <c r="N17" s="45">
        <f>IF(M17="","",IF(M17&lt;50,"يحتاج دعماً",IF(M17&lt;75,"جيد","ممتاز")))</f>
        <v/>
      </c>
    </row>
    <row r="18" ht="18" customHeight="1">
      <c r="A18" s="81" t="n">
        <v>14</v>
      </c>
      <c r="B18" s="82">
        <f>'قاعدة الأسماء'!B18</f>
        <v/>
      </c>
      <c r="C18" s="83" t="n">
        <v>10</v>
      </c>
      <c r="D18" s="83" t="n">
        <v>10</v>
      </c>
      <c r="E18" s="83" t="n">
        <v>9</v>
      </c>
      <c r="F18" s="83" t="n">
        <v>10</v>
      </c>
      <c r="G18" s="83" t="n">
        <v>10</v>
      </c>
      <c r="H18" s="83" t="n">
        <v>9</v>
      </c>
      <c r="I18" s="83" t="n">
        <v>10</v>
      </c>
      <c r="J18" s="83" t="n">
        <v>9</v>
      </c>
      <c r="K18" s="83" t="n">
        <v>9</v>
      </c>
      <c r="L18" s="83" t="n">
        <v>9</v>
      </c>
      <c r="M18" s="84">
        <f>IF(COUNT(C18:L18)=0,"",SUM(C18:L18))</f>
        <v/>
      </c>
      <c r="N18" s="85">
        <f>IF(M18="","",IF(M18&lt;50,"يحتاج دعماً",IF(M18&lt;75,"جيد","ممتاز")))</f>
        <v/>
      </c>
    </row>
    <row r="19" ht="18" customHeight="1">
      <c r="A19" s="79" t="n">
        <v>15</v>
      </c>
      <c r="B19" s="31">
        <f>'قاعدة الأسماء'!B19</f>
        <v/>
      </c>
      <c r="C19" s="32" t="n">
        <v>10</v>
      </c>
      <c r="D19" s="32" t="n">
        <v>9</v>
      </c>
      <c r="E19" s="32" t="n">
        <v>8</v>
      </c>
      <c r="F19" s="32" t="n">
        <v>10</v>
      </c>
      <c r="G19" s="32" t="n">
        <v>9</v>
      </c>
      <c r="H19" s="32" t="n">
        <v>8</v>
      </c>
      <c r="I19" s="32" t="n">
        <v>8</v>
      </c>
      <c r="J19" s="32" t="n">
        <v>10</v>
      </c>
      <c r="K19" s="32" t="n">
        <v>9</v>
      </c>
      <c r="L19" s="32" t="n">
        <v>9</v>
      </c>
      <c r="M19" s="80">
        <f>IF(COUNT(C19:L19)=0,"",SUM(C19:L19))</f>
        <v/>
      </c>
      <c r="N19" s="45">
        <f>IF(M19="","",IF(M19&lt;50,"يحتاج دعماً",IF(M19&lt;75,"جيد","ممتاز")))</f>
        <v/>
      </c>
    </row>
    <row r="20" ht="18" customHeight="1">
      <c r="A20" s="81" t="n">
        <v>16</v>
      </c>
      <c r="B20" s="82">
        <f>'قاعدة الأسماء'!B20</f>
        <v/>
      </c>
      <c r="C20" s="83" t="n">
        <v>9</v>
      </c>
      <c r="D20" s="83" t="n">
        <v>8</v>
      </c>
      <c r="E20" s="83" t="n">
        <v>10</v>
      </c>
      <c r="F20" s="83" t="n">
        <v>8</v>
      </c>
      <c r="G20" s="83" t="n">
        <v>9</v>
      </c>
      <c r="H20" s="83" t="n">
        <v>10</v>
      </c>
      <c r="I20" s="83" t="n">
        <v>9</v>
      </c>
      <c r="J20" s="83" t="n">
        <v>9</v>
      </c>
      <c r="K20" s="83" t="n">
        <v>10</v>
      </c>
      <c r="L20" s="83" t="n">
        <v>9</v>
      </c>
      <c r="M20" s="84">
        <f>IF(COUNT(C20:L20)=0,"",SUM(C20:L20))</f>
        <v/>
      </c>
      <c r="N20" s="85">
        <f>IF(M20="","",IF(M20&lt;50,"يحتاج دعماً",IF(M20&lt;75,"جيد","ممتاز")))</f>
        <v/>
      </c>
    </row>
    <row r="21" ht="18" customHeight="1">
      <c r="A21" s="79" t="n">
        <v>17</v>
      </c>
      <c r="B21" s="31">
        <f>'قاعدة الأسماء'!B21</f>
        <v/>
      </c>
      <c r="C21" s="32" t="n">
        <v>10</v>
      </c>
      <c r="D21" s="32" t="n">
        <v>9</v>
      </c>
      <c r="E21" s="32" t="n">
        <v>9</v>
      </c>
      <c r="F21" s="32" t="n">
        <v>9</v>
      </c>
      <c r="G21" s="32" t="n">
        <v>10</v>
      </c>
      <c r="H21" s="32" t="n">
        <v>9</v>
      </c>
      <c r="I21" s="32" t="n">
        <v>10</v>
      </c>
      <c r="J21" s="32" t="n">
        <v>9</v>
      </c>
      <c r="K21" s="32" t="n">
        <v>10</v>
      </c>
      <c r="L21" s="32" t="n">
        <v>10</v>
      </c>
      <c r="M21" s="80">
        <f>IF(COUNT(C21:L21)=0,"",SUM(C21:L21))</f>
        <v/>
      </c>
      <c r="N21" s="45">
        <f>IF(M21="","",IF(M21&lt;50,"يحتاج دعماً",IF(M21&lt;75,"جيد","ممتاز")))</f>
        <v/>
      </c>
    </row>
    <row r="22" ht="18" customHeight="1">
      <c r="A22" s="81" t="n">
        <v>18</v>
      </c>
      <c r="B22" s="82">
        <f>'قاعدة الأسماء'!B22</f>
        <v/>
      </c>
      <c r="C22" s="83" t="n">
        <v>9</v>
      </c>
      <c r="D22" s="83" t="n">
        <v>10</v>
      </c>
      <c r="E22" s="83" t="n">
        <v>8</v>
      </c>
      <c r="F22" s="83" t="n">
        <v>8</v>
      </c>
      <c r="G22" s="83" t="n">
        <v>9</v>
      </c>
      <c r="H22" s="83" t="n">
        <v>8</v>
      </c>
      <c r="I22" s="83" t="n">
        <v>10</v>
      </c>
      <c r="J22" s="83" t="n">
        <v>9</v>
      </c>
      <c r="K22" s="83" t="n">
        <v>8</v>
      </c>
      <c r="L22" s="83" t="n">
        <v>8</v>
      </c>
      <c r="M22" s="84">
        <f>IF(COUNT(C22:L22)=0,"",SUM(C22:L22))</f>
        <v/>
      </c>
      <c r="N22" s="85">
        <f>IF(M22="","",IF(M22&lt;50,"يحتاج دعماً",IF(M22&lt;75,"جيد","ممتاز")))</f>
        <v/>
      </c>
    </row>
    <row r="23" ht="18" customHeight="1">
      <c r="A23" s="79" t="n">
        <v>19</v>
      </c>
      <c r="B23" s="31">
        <f>'قاعدة الأسماء'!B23</f>
        <v/>
      </c>
      <c r="C23" s="32" t="n">
        <v>10</v>
      </c>
      <c r="D23" s="32" t="n">
        <v>9</v>
      </c>
      <c r="E23" s="32" t="n">
        <v>10</v>
      </c>
      <c r="F23" s="32" t="n">
        <v>10</v>
      </c>
      <c r="G23" s="32" t="n">
        <v>10</v>
      </c>
      <c r="H23" s="32" t="n">
        <v>9</v>
      </c>
      <c r="I23" s="32" t="n">
        <v>10</v>
      </c>
      <c r="J23" s="32" t="n">
        <v>10</v>
      </c>
      <c r="K23" s="32" t="n">
        <v>10</v>
      </c>
      <c r="L23" s="32" t="n">
        <v>10</v>
      </c>
      <c r="M23" s="80">
        <f>IF(COUNT(C23:L23)=0,"",SUM(C23:L23))</f>
        <v/>
      </c>
      <c r="N23" s="45">
        <f>IF(M23="","",IF(M23&lt;50,"يحتاج دعماً",IF(M23&lt;75,"جيد","ممتاز")))</f>
        <v/>
      </c>
    </row>
    <row r="24" ht="18" customHeight="1">
      <c r="A24" s="81" t="n">
        <v>20</v>
      </c>
      <c r="B24" s="82">
        <f>'قاعدة الأسماء'!B24</f>
        <v/>
      </c>
      <c r="C24" s="83" t="n">
        <v>9</v>
      </c>
      <c r="D24" s="83" t="n">
        <v>10</v>
      </c>
      <c r="E24" s="83" t="n">
        <v>8</v>
      </c>
      <c r="F24" s="83" t="n">
        <v>8</v>
      </c>
      <c r="G24" s="83" t="n">
        <v>10</v>
      </c>
      <c r="H24" s="83" t="n">
        <v>9</v>
      </c>
      <c r="I24" s="83" t="n">
        <v>10</v>
      </c>
      <c r="J24" s="83" t="n">
        <v>10</v>
      </c>
      <c r="K24" s="83" t="n">
        <v>10</v>
      </c>
      <c r="L24" s="83" t="n">
        <v>9</v>
      </c>
      <c r="M24" s="84">
        <f>IF(COUNT(C24:L24)=0,"",SUM(C24:L24))</f>
        <v/>
      </c>
      <c r="N24" s="85">
        <f>IF(M24="","",IF(M24&lt;50,"يحتاج دعماً",IF(M24&lt;75,"جيد","ممتاز")))</f>
        <v/>
      </c>
    </row>
    <row r="25" ht="18" customHeight="1">
      <c r="A25" s="79" t="n">
        <v>21</v>
      </c>
      <c r="B25" s="31">
        <f>'قاعدة الأسماء'!B25</f>
        <v/>
      </c>
      <c r="C25" s="32" t="n">
        <v>8</v>
      </c>
      <c r="D25" s="32" t="n">
        <v>8</v>
      </c>
      <c r="E25" s="32" t="n">
        <v>9</v>
      </c>
      <c r="F25" s="32" t="n">
        <v>8</v>
      </c>
      <c r="G25" s="32" t="n">
        <v>7</v>
      </c>
      <c r="H25" s="32" t="n">
        <v>7</v>
      </c>
      <c r="I25" s="32" t="n">
        <v>8</v>
      </c>
      <c r="J25" s="32" t="n">
        <v>8</v>
      </c>
      <c r="K25" s="32" t="n">
        <v>7</v>
      </c>
      <c r="L25" s="32" t="n">
        <v>8</v>
      </c>
      <c r="M25" s="80">
        <f>IF(COUNT(C25:L25)=0,"",SUM(C25:L25))</f>
        <v/>
      </c>
      <c r="N25" s="45">
        <f>IF(M25="","",IF(M25&lt;50,"يحتاج دعماً",IF(M25&lt;75,"جيد","ممتاز")))</f>
        <v/>
      </c>
    </row>
    <row r="26" ht="18" customHeight="1">
      <c r="A26" s="81" t="n">
        <v>22</v>
      </c>
      <c r="B26" s="82">
        <f>'قاعدة الأسماء'!B26</f>
        <v/>
      </c>
      <c r="C26" s="83" t="n">
        <v>7</v>
      </c>
      <c r="D26" s="83" t="n">
        <v>7</v>
      </c>
      <c r="E26" s="83" t="n">
        <v>6</v>
      </c>
      <c r="F26" s="83" t="n">
        <v>6</v>
      </c>
      <c r="G26" s="83" t="n">
        <v>7</v>
      </c>
      <c r="H26" s="83" t="n">
        <v>8</v>
      </c>
      <c r="I26" s="83" t="n">
        <v>6</v>
      </c>
      <c r="J26" s="83" t="n">
        <v>8</v>
      </c>
      <c r="K26" s="83" t="n">
        <v>7</v>
      </c>
      <c r="L26" s="83" t="n">
        <v>7</v>
      </c>
      <c r="M26" s="84">
        <f>IF(COUNT(C26:L26)=0,"",SUM(C26:L26))</f>
        <v/>
      </c>
      <c r="N26" s="85">
        <f>IF(M26="","",IF(M26&lt;50,"يحتاج دعماً",IF(M26&lt;75,"جيد","ممتاز")))</f>
        <v/>
      </c>
    </row>
    <row r="27" ht="18" customHeight="1">
      <c r="A27" s="79" t="n">
        <v>23</v>
      </c>
      <c r="B27" s="31">
        <f>'قاعدة الأسماء'!B27</f>
        <v/>
      </c>
      <c r="C27" s="32" t="n">
        <v>9</v>
      </c>
      <c r="D27" s="32" t="n">
        <v>7</v>
      </c>
      <c r="E27" s="32" t="n">
        <v>7</v>
      </c>
      <c r="F27" s="32" t="n">
        <v>8</v>
      </c>
      <c r="G27" s="32" t="n">
        <v>8</v>
      </c>
      <c r="H27" s="32" t="n">
        <v>8</v>
      </c>
      <c r="I27" s="32" t="n">
        <v>7</v>
      </c>
      <c r="J27" s="32" t="n">
        <v>6</v>
      </c>
      <c r="K27" s="32" t="n">
        <v>7</v>
      </c>
      <c r="L27" s="32" t="n">
        <v>8</v>
      </c>
      <c r="M27" s="80">
        <f>IF(COUNT(C27:L27)=0,"",SUM(C27:L27))</f>
        <v/>
      </c>
      <c r="N27" s="45">
        <f>IF(M27="","",IF(M27&lt;50,"يحتاج دعماً",IF(M27&lt;75,"جيد","ممتاز")))</f>
        <v/>
      </c>
    </row>
    <row r="28" ht="18" customHeight="1">
      <c r="A28" s="81" t="n">
        <v>24</v>
      </c>
      <c r="B28" s="82">
        <f>'قاعدة الأسماء'!B28</f>
        <v/>
      </c>
      <c r="C28" s="83" t="n">
        <v>9</v>
      </c>
      <c r="D28" s="83" t="n">
        <v>8</v>
      </c>
      <c r="E28" s="83" t="n">
        <v>8</v>
      </c>
      <c r="F28" s="83" t="n">
        <v>7</v>
      </c>
      <c r="G28" s="83" t="n">
        <v>9</v>
      </c>
      <c r="H28" s="83" t="n">
        <v>7</v>
      </c>
      <c r="I28" s="83" t="n">
        <v>10</v>
      </c>
      <c r="J28" s="83" t="n">
        <v>8</v>
      </c>
      <c r="K28" s="83" t="n">
        <v>9</v>
      </c>
      <c r="L28" s="83" t="n">
        <v>7</v>
      </c>
      <c r="M28" s="84">
        <f>IF(COUNT(C28:L28)=0,"",SUM(C28:L28))</f>
        <v/>
      </c>
      <c r="N28" s="85">
        <f>IF(M28="","",IF(M28&lt;50,"يحتاج دعماً",IF(M28&lt;75,"جيد","ممتاز")))</f>
        <v/>
      </c>
    </row>
    <row r="29" ht="18" customHeight="1">
      <c r="A29" s="79" t="n">
        <v>25</v>
      </c>
      <c r="B29" s="31">
        <f>'قاعدة الأسماء'!B29</f>
        <v/>
      </c>
      <c r="C29" s="32" t="n">
        <v>8</v>
      </c>
      <c r="D29" s="32" t="n">
        <v>7</v>
      </c>
      <c r="E29" s="32" t="n">
        <v>7</v>
      </c>
      <c r="F29" s="32" t="n">
        <v>7</v>
      </c>
      <c r="G29" s="32" t="n">
        <v>8</v>
      </c>
      <c r="H29" s="32" t="n">
        <v>8</v>
      </c>
      <c r="I29" s="32" t="n">
        <v>9</v>
      </c>
      <c r="J29" s="32" t="n">
        <v>9</v>
      </c>
      <c r="K29" s="32" t="n">
        <v>7</v>
      </c>
      <c r="L29" s="32" t="n">
        <v>9</v>
      </c>
      <c r="M29" s="80">
        <f>IF(COUNT(C29:L29)=0,"",SUM(C29:L29))</f>
        <v/>
      </c>
      <c r="N29" s="45">
        <f>IF(M29="","",IF(M29&lt;50,"يحتاج دعماً",IF(M29&lt;75,"جيد","ممتاز")))</f>
        <v/>
      </c>
    </row>
    <row r="30" ht="18" customHeight="1">
      <c r="A30" s="81" t="n">
        <v>26</v>
      </c>
      <c r="B30" s="82">
        <f>'قاعدة الأسماء'!B30</f>
        <v/>
      </c>
      <c r="C30" s="83" t="n">
        <v>8</v>
      </c>
      <c r="D30" s="83" t="n">
        <v>9</v>
      </c>
      <c r="E30" s="83" t="n">
        <v>8</v>
      </c>
      <c r="F30" s="83" t="n">
        <v>7</v>
      </c>
      <c r="G30" s="83" t="n">
        <v>8</v>
      </c>
      <c r="H30" s="83" t="n">
        <v>7</v>
      </c>
      <c r="I30" s="83" t="n">
        <v>8</v>
      </c>
      <c r="J30" s="83" t="n">
        <v>7</v>
      </c>
      <c r="K30" s="83" t="n">
        <v>9</v>
      </c>
      <c r="L30" s="83" t="n">
        <v>8</v>
      </c>
      <c r="M30" s="84">
        <f>IF(COUNT(C30:L30)=0,"",SUM(C30:L30))</f>
        <v/>
      </c>
      <c r="N30" s="85">
        <f>IF(M30="","",IF(M30&lt;50,"يحتاج دعماً",IF(M30&lt;75,"جيد","ممتاز")))</f>
        <v/>
      </c>
    </row>
    <row r="31" ht="18" customHeight="1">
      <c r="A31" s="79" t="n">
        <v>27</v>
      </c>
      <c r="B31" s="31">
        <f>'قاعدة الأسماء'!B31</f>
        <v/>
      </c>
      <c r="C31" s="32" t="n">
        <v>8</v>
      </c>
      <c r="D31" s="32" t="n">
        <v>8</v>
      </c>
      <c r="E31" s="32" t="n">
        <v>8</v>
      </c>
      <c r="F31" s="32" t="n">
        <v>7</v>
      </c>
      <c r="G31" s="32" t="n">
        <v>8</v>
      </c>
      <c r="H31" s="32" t="n">
        <v>8</v>
      </c>
      <c r="I31" s="32" t="n">
        <v>8</v>
      </c>
      <c r="J31" s="32" t="n">
        <v>7</v>
      </c>
      <c r="K31" s="32" t="n">
        <v>8</v>
      </c>
      <c r="L31" s="32" t="n">
        <v>6</v>
      </c>
      <c r="M31" s="80">
        <f>IF(COUNT(C31:L31)=0,"",SUM(C31:L31))</f>
        <v/>
      </c>
      <c r="N31" s="45">
        <f>IF(M31="","",IF(M31&lt;50,"يحتاج دعماً",IF(M31&lt;75,"جيد","ممتاز")))</f>
        <v/>
      </c>
    </row>
    <row r="32" ht="18" customHeight="1">
      <c r="A32" s="81" t="n">
        <v>28</v>
      </c>
      <c r="B32" s="82">
        <f>'قاعدة الأسماء'!B32</f>
        <v/>
      </c>
      <c r="C32" s="83" t="n">
        <v>8</v>
      </c>
      <c r="D32" s="83" t="n">
        <v>8</v>
      </c>
      <c r="E32" s="83" t="n">
        <v>9</v>
      </c>
      <c r="F32" s="83" t="n">
        <v>9</v>
      </c>
      <c r="G32" s="83" t="n">
        <v>10</v>
      </c>
      <c r="H32" s="83" t="n">
        <v>8</v>
      </c>
      <c r="I32" s="83" t="n">
        <v>9</v>
      </c>
      <c r="J32" s="83" t="n">
        <v>7</v>
      </c>
      <c r="K32" s="83" t="n">
        <v>7</v>
      </c>
      <c r="L32" s="83" t="n">
        <v>7</v>
      </c>
      <c r="M32" s="84">
        <f>IF(COUNT(C32:L32)=0,"",SUM(C32:L32))</f>
        <v/>
      </c>
      <c r="N32" s="85">
        <f>IF(M32="","",IF(M32&lt;50,"يحتاج دعماً",IF(M32&lt;75,"جيد","ممتاز")))</f>
        <v/>
      </c>
    </row>
    <row r="33" ht="18" customHeight="1">
      <c r="A33" s="79" t="n">
        <v>29</v>
      </c>
      <c r="B33" s="31">
        <f>'قاعدة الأسماء'!B33</f>
        <v/>
      </c>
      <c r="C33" s="32" t="n">
        <v>7</v>
      </c>
      <c r="D33" s="32" t="n">
        <v>7</v>
      </c>
      <c r="E33" s="32" t="n">
        <v>6</v>
      </c>
      <c r="F33" s="32" t="n">
        <v>7</v>
      </c>
      <c r="G33" s="32" t="n">
        <v>6</v>
      </c>
      <c r="H33" s="32" t="n">
        <v>6</v>
      </c>
      <c r="I33" s="32" t="n">
        <v>6</v>
      </c>
      <c r="J33" s="32" t="n">
        <v>5</v>
      </c>
      <c r="K33" s="32" t="n">
        <v>6</v>
      </c>
      <c r="L33" s="32" t="n">
        <v>5</v>
      </c>
      <c r="M33" s="80">
        <f>IF(COUNT(C33:L33)=0,"",SUM(C33:L33))</f>
        <v/>
      </c>
      <c r="N33" s="45">
        <f>IF(M33="","",IF(M33&lt;50,"يحتاج دعماً",IF(M33&lt;75,"جيد","ممتاز")))</f>
        <v/>
      </c>
    </row>
    <row r="34" ht="18" customHeight="1">
      <c r="A34" s="81" t="n">
        <v>30</v>
      </c>
      <c r="B34" s="82">
        <f>'قاعدة الأسماء'!B34</f>
        <v/>
      </c>
      <c r="C34" s="83" t="n">
        <v>8</v>
      </c>
      <c r="D34" s="83" t="n">
        <v>9</v>
      </c>
      <c r="E34" s="83" t="n">
        <v>5</v>
      </c>
      <c r="F34" s="83" t="n">
        <v>6</v>
      </c>
      <c r="G34" s="83" t="n">
        <v>8</v>
      </c>
      <c r="H34" s="83" t="n">
        <v>6</v>
      </c>
      <c r="I34" s="83" t="n">
        <v>8</v>
      </c>
      <c r="J34" s="83" t="n">
        <v>9</v>
      </c>
      <c r="K34" s="83" t="n">
        <v>7</v>
      </c>
      <c r="L34" s="83" t="n">
        <v>9</v>
      </c>
      <c r="M34" s="84">
        <f>IF(COUNT(C34:L34)=0,"",SUM(C34:L34))</f>
        <v/>
      </c>
      <c r="N34" s="85">
        <f>IF(M34="","",IF(M34&lt;50,"يحتاج دعماً",IF(M34&lt;75,"جيد","ممتاز")))</f>
        <v/>
      </c>
    </row>
    <row r="35" ht="18" customHeight="1">
      <c r="A35" s="79" t="n">
        <v>31</v>
      </c>
      <c r="B35" s="31">
        <f>'قاعدة الأسماء'!B35</f>
        <v/>
      </c>
      <c r="C35" s="32" t="n">
        <v>7</v>
      </c>
      <c r="D35" s="32" t="n">
        <v>8</v>
      </c>
      <c r="E35" s="32" t="n">
        <v>7</v>
      </c>
      <c r="F35" s="32" t="n">
        <v>8</v>
      </c>
      <c r="G35" s="32" t="n">
        <v>8</v>
      </c>
      <c r="H35" s="32" t="n">
        <v>8</v>
      </c>
      <c r="I35" s="32" t="n">
        <v>8</v>
      </c>
      <c r="J35" s="32" t="n">
        <v>9</v>
      </c>
      <c r="K35" s="32" t="n">
        <v>7</v>
      </c>
      <c r="L35" s="32" t="n">
        <v>8</v>
      </c>
      <c r="M35" s="80">
        <f>IF(COUNT(C35:L35)=0,"",SUM(C35:L35))</f>
        <v/>
      </c>
      <c r="N35" s="45">
        <f>IF(M35="","",IF(M35&lt;50,"يحتاج دعماً",IF(M35&lt;75,"جيد","ممتاز")))</f>
        <v/>
      </c>
    </row>
    <row r="36" ht="18" customHeight="1">
      <c r="A36" s="81" t="n">
        <v>32</v>
      </c>
      <c r="B36" s="82">
        <f>'قاعدة الأسماء'!B36</f>
        <v/>
      </c>
      <c r="C36" s="83" t="n">
        <v>8</v>
      </c>
      <c r="D36" s="83" t="n">
        <v>7</v>
      </c>
      <c r="E36" s="83" t="n">
        <v>5</v>
      </c>
      <c r="F36" s="83" t="n">
        <v>7</v>
      </c>
      <c r="G36" s="83" t="n">
        <v>7</v>
      </c>
      <c r="H36" s="83" t="n">
        <v>5</v>
      </c>
      <c r="I36" s="83" t="n">
        <v>8</v>
      </c>
      <c r="J36" s="83" t="n">
        <v>6</v>
      </c>
      <c r="K36" s="83" t="n">
        <v>5</v>
      </c>
      <c r="L36" s="83" t="n">
        <v>7</v>
      </c>
      <c r="M36" s="84">
        <f>IF(COUNT(C36:L36)=0,"",SUM(C36:L36))</f>
        <v/>
      </c>
      <c r="N36" s="85">
        <f>IF(M36="","",IF(M36&lt;50,"يحتاج دعماً",IF(M36&lt;75,"جيد","ممتاز")))</f>
        <v/>
      </c>
    </row>
    <row r="37" ht="18" customHeight="1">
      <c r="A37" s="79" t="n">
        <v>33</v>
      </c>
      <c r="B37" s="31">
        <f>'قاعدة الأسماء'!B37</f>
        <v/>
      </c>
      <c r="C37" s="32" t="n">
        <v>7</v>
      </c>
      <c r="D37" s="32" t="n">
        <v>8</v>
      </c>
      <c r="E37" s="32" t="n">
        <v>5</v>
      </c>
      <c r="F37" s="32" t="n">
        <v>7</v>
      </c>
      <c r="G37" s="32" t="n">
        <v>6</v>
      </c>
      <c r="H37" s="32" t="n">
        <v>6</v>
      </c>
      <c r="I37" s="32" t="n">
        <v>9</v>
      </c>
      <c r="J37" s="32" t="n">
        <v>6</v>
      </c>
      <c r="K37" s="32" t="n">
        <v>7</v>
      </c>
      <c r="L37" s="32" t="n">
        <v>8</v>
      </c>
      <c r="M37" s="80">
        <f>IF(COUNT(C37:L37)=0,"",SUM(C37:L37))</f>
        <v/>
      </c>
      <c r="N37" s="45">
        <f>IF(M37="","",IF(M37&lt;50,"يحتاج دعماً",IF(M37&lt;75,"جيد","ممتاز")))</f>
        <v/>
      </c>
    </row>
    <row r="38" ht="18" customHeight="1">
      <c r="A38" s="81" t="n">
        <v>34</v>
      </c>
      <c r="B38" s="82">
        <f>'قاعدة الأسماء'!B38</f>
        <v/>
      </c>
      <c r="C38" s="83" t="n">
        <v>8</v>
      </c>
      <c r="D38" s="83" t="n">
        <v>7</v>
      </c>
      <c r="E38" s="83" t="n">
        <v>7</v>
      </c>
      <c r="F38" s="83" t="n">
        <v>7</v>
      </c>
      <c r="G38" s="83" t="n">
        <v>7</v>
      </c>
      <c r="H38" s="83" t="n">
        <v>6</v>
      </c>
      <c r="I38" s="83" t="n">
        <v>9</v>
      </c>
      <c r="J38" s="83" t="n">
        <v>7</v>
      </c>
      <c r="K38" s="83" t="n">
        <v>8</v>
      </c>
      <c r="L38" s="83" t="n">
        <v>7</v>
      </c>
      <c r="M38" s="84">
        <f>IF(COUNT(C38:L38)=0,"",SUM(C38:L38))</f>
        <v/>
      </c>
      <c r="N38" s="85">
        <f>IF(M38="","",IF(M38&lt;50,"يحتاج دعماً",IF(M38&lt;75,"جيد","ممتاز")))</f>
        <v/>
      </c>
    </row>
    <row r="39" ht="18" customHeight="1">
      <c r="A39" s="79" t="n">
        <v>35</v>
      </c>
      <c r="B39" s="31">
        <f>'قاعدة الأسماء'!B39</f>
        <v/>
      </c>
      <c r="C39" s="32" t="n">
        <v>8</v>
      </c>
      <c r="D39" s="32" t="n">
        <v>7</v>
      </c>
      <c r="E39" s="32" t="n">
        <v>8</v>
      </c>
      <c r="F39" s="32" t="n">
        <v>6</v>
      </c>
      <c r="G39" s="32" t="n">
        <v>8</v>
      </c>
      <c r="H39" s="32" t="n">
        <v>6</v>
      </c>
      <c r="I39" s="32" t="n">
        <v>8</v>
      </c>
      <c r="J39" s="32" t="n">
        <v>7</v>
      </c>
      <c r="K39" s="32" t="n">
        <v>8</v>
      </c>
      <c r="L39" s="32" t="n">
        <v>7</v>
      </c>
      <c r="M39" s="80">
        <f>IF(COUNT(C39:L39)=0,"",SUM(C39:L39))</f>
        <v/>
      </c>
      <c r="N39" s="45">
        <f>IF(M39="","",IF(M39&lt;50,"يحتاج دعماً",IF(M39&lt;75,"جيد","ممتاز")))</f>
        <v/>
      </c>
    </row>
    <row r="40" ht="18" customHeight="1">
      <c r="A40" s="81" t="n">
        <v>36</v>
      </c>
      <c r="B40" s="82">
        <f>'قاعدة الأسماء'!B40</f>
        <v/>
      </c>
      <c r="C40" s="83" t="n">
        <v>7</v>
      </c>
      <c r="D40" s="83" t="n">
        <v>8</v>
      </c>
      <c r="E40" s="83" t="n">
        <v>7</v>
      </c>
      <c r="F40" s="83" t="n">
        <v>7</v>
      </c>
      <c r="G40" s="83" t="n">
        <v>10</v>
      </c>
      <c r="H40" s="83" t="n">
        <v>7</v>
      </c>
      <c r="I40" s="83" t="n">
        <v>8</v>
      </c>
      <c r="J40" s="83" t="n">
        <v>9</v>
      </c>
      <c r="K40" s="83" t="n">
        <v>7</v>
      </c>
      <c r="L40" s="83" t="n">
        <v>9</v>
      </c>
      <c r="M40" s="84">
        <f>IF(COUNT(C40:L40)=0,"",SUM(C40:L40))</f>
        <v/>
      </c>
      <c r="N40" s="85">
        <f>IF(M40="","",IF(M40&lt;50,"يحتاج دعماً",IF(M40&lt;75,"جيد","ممتاز")))</f>
        <v/>
      </c>
    </row>
    <row r="41" ht="18" customHeight="1">
      <c r="A41" s="79" t="n">
        <v>37</v>
      </c>
      <c r="B41" s="31">
        <f>'قاعدة الأسماء'!B41</f>
        <v/>
      </c>
      <c r="C41" s="32" t="n">
        <v>8</v>
      </c>
      <c r="D41" s="32" t="n">
        <v>9</v>
      </c>
      <c r="E41" s="32" t="n">
        <v>7</v>
      </c>
      <c r="F41" s="32" t="n">
        <v>7</v>
      </c>
      <c r="G41" s="32" t="n">
        <v>9</v>
      </c>
      <c r="H41" s="32" t="n">
        <v>8</v>
      </c>
      <c r="I41" s="32" t="n">
        <v>10</v>
      </c>
      <c r="J41" s="32" t="n">
        <v>9</v>
      </c>
      <c r="K41" s="32" t="n">
        <v>8</v>
      </c>
      <c r="L41" s="32" t="n">
        <v>8</v>
      </c>
      <c r="M41" s="80">
        <f>IF(COUNT(C41:L41)=0,"",SUM(C41:L41))</f>
        <v/>
      </c>
      <c r="N41" s="45">
        <f>IF(M41="","",IF(M41&lt;50,"يحتاج دعماً",IF(M41&lt;75,"جيد","ممتاز")))</f>
        <v/>
      </c>
    </row>
    <row r="42" ht="18" customHeight="1">
      <c r="A42" s="81" t="n">
        <v>38</v>
      </c>
      <c r="B42" s="82">
        <f>'قاعدة الأسماء'!B42</f>
        <v/>
      </c>
      <c r="C42" s="83" t="n">
        <v>7</v>
      </c>
      <c r="D42" s="83" t="n">
        <v>8</v>
      </c>
      <c r="E42" s="83" t="n">
        <v>6</v>
      </c>
      <c r="F42" s="83" t="n">
        <v>7</v>
      </c>
      <c r="G42" s="83" t="n">
        <v>8</v>
      </c>
      <c r="H42" s="83" t="n">
        <v>8</v>
      </c>
      <c r="I42" s="83" t="n">
        <v>7</v>
      </c>
      <c r="J42" s="83" t="n">
        <v>7</v>
      </c>
      <c r="K42" s="83" t="n">
        <v>8</v>
      </c>
      <c r="L42" s="83" t="n">
        <v>7</v>
      </c>
      <c r="M42" s="84">
        <f>IF(COUNT(C42:L42)=0,"",SUM(C42:L42))</f>
        <v/>
      </c>
      <c r="N42" s="85">
        <f>IF(M42="","",IF(M42&lt;50,"يحتاج دعماً",IF(M42&lt;75,"جيد","ممتاز")))</f>
        <v/>
      </c>
    </row>
    <row r="43" ht="18" customHeight="1">
      <c r="A43" s="79" t="n">
        <v>39</v>
      </c>
      <c r="B43" s="31">
        <f>'قاعدة الأسماء'!B43</f>
        <v/>
      </c>
      <c r="C43" s="32" t="n">
        <v>9</v>
      </c>
      <c r="D43" s="32" t="n">
        <v>6</v>
      </c>
      <c r="E43" s="32" t="n">
        <v>7</v>
      </c>
      <c r="F43" s="32" t="n">
        <v>8</v>
      </c>
      <c r="G43" s="32" t="n">
        <v>7</v>
      </c>
      <c r="H43" s="32" t="n">
        <v>7</v>
      </c>
      <c r="I43" s="32" t="n">
        <v>6</v>
      </c>
      <c r="J43" s="32" t="n">
        <v>6</v>
      </c>
      <c r="K43" s="32" t="n">
        <v>7</v>
      </c>
      <c r="L43" s="32" t="n">
        <v>7</v>
      </c>
      <c r="M43" s="80">
        <f>IF(COUNT(C43:L43)=0,"",SUM(C43:L43))</f>
        <v/>
      </c>
      <c r="N43" s="45">
        <f>IF(M43="","",IF(M43&lt;50,"يحتاج دعماً",IF(M43&lt;75,"جيد","ممتاز")))</f>
        <v/>
      </c>
    </row>
    <row r="44" ht="18" customHeight="1">
      <c r="A44" s="81" t="n">
        <v>40</v>
      </c>
      <c r="B44" s="82">
        <f>'قاعدة الأسماء'!B44</f>
        <v/>
      </c>
      <c r="C44" s="83" t="n">
        <v>6</v>
      </c>
      <c r="D44" s="83" t="n">
        <v>6</v>
      </c>
      <c r="E44" s="83" t="n">
        <v>8</v>
      </c>
      <c r="F44" s="83" t="n">
        <v>6</v>
      </c>
      <c r="G44" s="83" t="n">
        <v>6</v>
      </c>
      <c r="H44" s="83" t="n">
        <v>8</v>
      </c>
      <c r="I44" s="83" t="n">
        <v>6</v>
      </c>
      <c r="J44" s="83" t="n">
        <v>6</v>
      </c>
      <c r="K44" s="83" t="n">
        <v>6</v>
      </c>
      <c r="L44" s="83" t="n">
        <v>8</v>
      </c>
      <c r="M44" s="84">
        <f>IF(COUNT(C44:L44)=0,"",SUM(C44:L44))</f>
        <v/>
      </c>
      <c r="N44" s="85">
        <f>IF(M44="","",IF(M44&lt;50,"يحتاج دعماً",IF(M44&lt;75,"جيد","ممتاز")))</f>
        <v/>
      </c>
    </row>
    <row r="45" ht="18" customHeight="1">
      <c r="A45" s="79" t="n">
        <v>41</v>
      </c>
      <c r="B45" s="31">
        <f>'قاعدة الأسماء'!B45</f>
        <v/>
      </c>
      <c r="C45" s="32" t="n">
        <v>8</v>
      </c>
      <c r="D45" s="32" t="n">
        <v>7</v>
      </c>
      <c r="E45" s="32" t="n">
        <v>6</v>
      </c>
      <c r="F45" s="32" t="n">
        <v>8</v>
      </c>
      <c r="G45" s="32" t="n">
        <v>6</v>
      </c>
      <c r="H45" s="32" t="n">
        <v>6</v>
      </c>
      <c r="I45" s="32" t="n">
        <v>7</v>
      </c>
      <c r="J45" s="32" t="n">
        <v>8</v>
      </c>
      <c r="K45" s="32" t="n">
        <v>6</v>
      </c>
      <c r="L45" s="32" t="n">
        <v>7</v>
      </c>
      <c r="M45" s="80">
        <f>IF(COUNT(C45:L45)=0,"",SUM(C45:L45))</f>
        <v/>
      </c>
      <c r="N45" s="45">
        <f>IF(M45="","",IF(M45&lt;50,"يحتاج دعماً",IF(M45&lt;75,"جيد","ممتاز")))</f>
        <v/>
      </c>
    </row>
    <row r="46" ht="18" customHeight="1">
      <c r="A46" s="81" t="n">
        <v>42</v>
      </c>
      <c r="B46" s="82">
        <f>'قاعدة الأسماء'!B46</f>
        <v/>
      </c>
      <c r="C46" s="83" t="n">
        <v>9</v>
      </c>
      <c r="D46" s="83" t="n">
        <v>8</v>
      </c>
      <c r="E46" s="83" t="n">
        <v>7</v>
      </c>
      <c r="F46" s="83" t="n">
        <v>8</v>
      </c>
      <c r="G46" s="83" t="n">
        <v>7</v>
      </c>
      <c r="H46" s="83" t="n">
        <v>8</v>
      </c>
      <c r="I46" s="83" t="n">
        <v>7</v>
      </c>
      <c r="J46" s="83" t="n">
        <v>8</v>
      </c>
      <c r="K46" s="83" t="n">
        <v>7</v>
      </c>
      <c r="L46" s="83" t="n">
        <v>7</v>
      </c>
      <c r="M46" s="84">
        <f>IF(COUNT(C46:L46)=0,"",SUM(C46:L46))</f>
        <v/>
      </c>
      <c r="N46" s="85">
        <f>IF(M46="","",IF(M46&lt;50,"يحتاج دعماً",IF(M46&lt;75,"جيد","ممتاز")))</f>
        <v/>
      </c>
    </row>
    <row r="47" ht="18" customHeight="1">
      <c r="A47" s="79" t="n">
        <v>43</v>
      </c>
      <c r="B47" s="31">
        <f>'قاعدة الأسماء'!B47</f>
        <v/>
      </c>
      <c r="C47" s="32" t="n">
        <v>7</v>
      </c>
      <c r="D47" s="32" t="n">
        <v>9</v>
      </c>
      <c r="E47" s="32" t="n">
        <v>7</v>
      </c>
      <c r="F47" s="32" t="n">
        <v>6</v>
      </c>
      <c r="G47" s="32" t="n">
        <v>9</v>
      </c>
      <c r="H47" s="32" t="n">
        <v>7</v>
      </c>
      <c r="I47" s="32" t="n">
        <v>9</v>
      </c>
      <c r="J47" s="32" t="n">
        <v>7</v>
      </c>
      <c r="K47" s="32" t="n">
        <v>7</v>
      </c>
      <c r="L47" s="32" t="n">
        <v>8</v>
      </c>
      <c r="M47" s="80">
        <f>IF(COUNT(C47:L47)=0,"",SUM(C47:L47))</f>
        <v/>
      </c>
      <c r="N47" s="45">
        <f>IF(M47="","",IF(M47&lt;50,"يحتاج دعماً",IF(M47&lt;75,"جيد","ممتاز")))</f>
        <v/>
      </c>
    </row>
    <row r="48" ht="18" customHeight="1">
      <c r="A48" s="81" t="n">
        <v>44</v>
      </c>
      <c r="B48" s="82">
        <f>'قاعدة الأسماء'!B48</f>
        <v/>
      </c>
      <c r="C48" s="83" t="n">
        <v>8</v>
      </c>
      <c r="D48" s="83" t="n">
        <v>7</v>
      </c>
      <c r="E48" s="83" t="n">
        <v>5</v>
      </c>
      <c r="F48" s="83" t="n">
        <v>6</v>
      </c>
      <c r="G48" s="83" t="n">
        <v>6</v>
      </c>
      <c r="H48" s="83" t="n">
        <v>6</v>
      </c>
      <c r="I48" s="83" t="n">
        <v>7</v>
      </c>
      <c r="J48" s="83" t="n">
        <v>8</v>
      </c>
      <c r="K48" s="83" t="n">
        <v>5</v>
      </c>
      <c r="L48" s="83" t="n">
        <v>8</v>
      </c>
      <c r="M48" s="84">
        <f>IF(COUNT(C48:L48)=0,"",SUM(C48:L48))</f>
        <v/>
      </c>
      <c r="N48" s="85">
        <f>IF(M48="","",IF(M48&lt;50,"يحتاج دعماً",IF(M48&lt;75,"جيد","ممتاز")))</f>
        <v/>
      </c>
    </row>
    <row r="49" ht="18" customHeight="1">
      <c r="A49" s="79" t="n">
        <v>45</v>
      </c>
      <c r="B49" s="31">
        <f>'قاعدة الأسماء'!B49</f>
        <v/>
      </c>
      <c r="C49" s="32" t="n">
        <v>8</v>
      </c>
      <c r="D49" s="32" t="n">
        <v>8</v>
      </c>
      <c r="E49" s="32" t="n">
        <v>7</v>
      </c>
      <c r="F49" s="32" t="n">
        <v>7</v>
      </c>
      <c r="G49" s="32" t="n">
        <v>8</v>
      </c>
      <c r="H49" s="32" t="n">
        <v>8</v>
      </c>
      <c r="I49" s="32" t="n">
        <v>7</v>
      </c>
      <c r="J49" s="32" t="n">
        <v>7</v>
      </c>
      <c r="K49" s="32" t="n">
        <v>8</v>
      </c>
      <c r="L49" s="32" t="n">
        <v>7</v>
      </c>
      <c r="M49" s="80">
        <f>IF(COUNT(C49:L49)=0,"",SUM(C49:L49))</f>
        <v/>
      </c>
      <c r="N49" s="45">
        <f>IF(M49="","",IF(M49&lt;50,"يحتاج دعماً",IF(M49&lt;75,"جيد","ممتاز")))</f>
        <v/>
      </c>
    </row>
    <row r="50" ht="18" customHeight="1">
      <c r="A50" s="81" t="n">
        <v>46</v>
      </c>
      <c r="B50" s="82">
        <f>'قاعدة الأسماء'!B50</f>
        <v/>
      </c>
      <c r="C50" s="83" t="n">
        <v>8</v>
      </c>
      <c r="D50" s="83" t="n">
        <v>9</v>
      </c>
      <c r="E50" s="83" t="n">
        <v>7</v>
      </c>
      <c r="F50" s="83" t="n">
        <v>6</v>
      </c>
      <c r="G50" s="83" t="n">
        <v>7</v>
      </c>
      <c r="H50" s="83" t="n">
        <v>5</v>
      </c>
      <c r="I50" s="83" t="n">
        <v>8</v>
      </c>
      <c r="J50" s="83" t="n">
        <v>7</v>
      </c>
      <c r="K50" s="83" t="n">
        <v>5</v>
      </c>
      <c r="L50" s="83" t="n">
        <v>8</v>
      </c>
      <c r="M50" s="84">
        <f>IF(COUNT(C50:L50)=0,"",SUM(C50:L50))</f>
        <v/>
      </c>
      <c r="N50" s="85">
        <f>IF(M50="","",IF(M50&lt;50,"يحتاج دعماً",IF(M50&lt;75,"جيد","ممتاز")))</f>
        <v/>
      </c>
    </row>
    <row r="51" ht="18" customHeight="1">
      <c r="A51" s="79" t="n">
        <v>47</v>
      </c>
      <c r="B51" s="31">
        <f>'قاعدة الأسماء'!B51</f>
        <v/>
      </c>
      <c r="C51" s="32" t="n">
        <v>8</v>
      </c>
      <c r="D51" s="32" t="n">
        <v>8</v>
      </c>
      <c r="E51" s="32" t="n">
        <v>7</v>
      </c>
      <c r="F51" s="32" t="n">
        <v>7</v>
      </c>
      <c r="G51" s="32" t="n">
        <v>7</v>
      </c>
      <c r="H51" s="32" t="n">
        <v>7</v>
      </c>
      <c r="I51" s="32" t="n">
        <v>6</v>
      </c>
      <c r="J51" s="32" t="n">
        <v>7</v>
      </c>
      <c r="K51" s="32" t="n">
        <v>8</v>
      </c>
      <c r="L51" s="32" t="n">
        <v>7</v>
      </c>
      <c r="M51" s="80">
        <f>IF(COUNT(C51:L51)=0,"",SUM(C51:L51))</f>
        <v/>
      </c>
      <c r="N51" s="45">
        <f>IF(M51="","",IF(M51&lt;50,"يحتاج دعماً",IF(M51&lt;75,"جيد","ممتاز")))</f>
        <v/>
      </c>
    </row>
    <row r="52" ht="18" customHeight="1">
      <c r="A52" s="81" t="n">
        <v>48</v>
      </c>
      <c r="B52" s="82">
        <f>'قاعدة الأسماء'!B52</f>
        <v/>
      </c>
      <c r="C52" s="83" t="n">
        <v>10</v>
      </c>
      <c r="D52" s="83" t="n">
        <v>8</v>
      </c>
      <c r="E52" s="83" t="n">
        <v>8</v>
      </c>
      <c r="F52" s="83" t="n">
        <v>7</v>
      </c>
      <c r="G52" s="83" t="n">
        <v>8</v>
      </c>
      <c r="H52" s="83" t="n">
        <v>9</v>
      </c>
      <c r="I52" s="83" t="n">
        <v>8</v>
      </c>
      <c r="J52" s="83" t="n">
        <v>9</v>
      </c>
      <c r="K52" s="83" t="n">
        <v>9</v>
      </c>
      <c r="L52" s="83" t="n">
        <v>7</v>
      </c>
      <c r="M52" s="84">
        <f>IF(COUNT(C52:L52)=0,"",SUM(C52:L52))</f>
        <v/>
      </c>
      <c r="N52" s="85">
        <f>IF(M52="","",IF(M52&lt;50,"يحتاج دعماً",IF(M52&lt;75,"جيد","ممتاز")))</f>
        <v/>
      </c>
    </row>
    <row r="53" ht="18" customHeight="1">
      <c r="A53" s="79" t="n">
        <v>49</v>
      </c>
      <c r="B53" s="31">
        <f>'قاعدة الأسماء'!B53</f>
        <v/>
      </c>
      <c r="C53" s="32" t="n">
        <v>8</v>
      </c>
      <c r="D53" s="32" t="n">
        <v>8</v>
      </c>
      <c r="E53" s="32" t="n">
        <v>7</v>
      </c>
      <c r="F53" s="32" t="n">
        <v>7</v>
      </c>
      <c r="G53" s="32" t="n">
        <v>7</v>
      </c>
      <c r="H53" s="32" t="n">
        <v>7</v>
      </c>
      <c r="I53" s="32" t="n">
        <v>9</v>
      </c>
      <c r="J53" s="32" t="n">
        <v>7</v>
      </c>
      <c r="K53" s="32" t="n">
        <v>7</v>
      </c>
      <c r="L53" s="32" t="n">
        <v>6</v>
      </c>
      <c r="M53" s="80">
        <f>IF(COUNT(C53:L53)=0,"",SUM(C53:L53))</f>
        <v/>
      </c>
      <c r="N53" s="45">
        <f>IF(M53="","",IF(M53&lt;50,"يحتاج دعماً",IF(M53&lt;75,"جيد","ممتاز")))</f>
        <v/>
      </c>
    </row>
    <row r="54" ht="18" customHeight="1">
      <c r="A54" s="81" t="n">
        <v>50</v>
      </c>
      <c r="B54" s="82">
        <f>'قاعدة الأسماء'!B54</f>
        <v/>
      </c>
      <c r="C54" s="83" t="n">
        <v>7</v>
      </c>
      <c r="D54" s="83" t="n">
        <v>8</v>
      </c>
      <c r="E54" s="83" t="n">
        <v>6</v>
      </c>
      <c r="F54" s="83" t="n">
        <v>8</v>
      </c>
      <c r="G54" s="83" t="n">
        <v>7</v>
      </c>
      <c r="H54" s="83" t="n">
        <v>8</v>
      </c>
      <c r="I54" s="83" t="n">
        <v>8</v>
      </c>
      <c r="J54" s="83" t="n">
        <v>8</v>
      </c>
      <c r="K54" s="83" t="n">
        <v>9</v>
      </c>
      <c r="L54" s="83" t="n">
        <v>7</v>
      </c>
      <c r="M54" s="84">
        <f>IF(COUNT(C54:L54)=0,"",SUM(C54:L54))</f>
        <v/>
      </c>
      <c r="N54" s="85">
        <f>IF(M54="","",IF(M54&lt;50,"يحتاج دعماً",IF(M54&lt;75,"جيد","ممتاز")))</f>
        <v/>
      </c>
    </row>
    <row r="55" ht="18" customHeight="1">
      <c r="A55" s="79" t="n">
        <v>51</v>
      </c>
      <c r="B55" s="31">
        <f>'قاعدة الأسماء'!B55</f>
        <v/>
      </c>
      <c r="C55" s="32" t="n">
        <v>9</v>
      </c>
      <c r="D55" s="32" t="n">
        <v>8</v>
      </c>
      <c r="E55" s="32" t="n">
        <v>6</v>
      </c>
      <c r="F55" s="32" t="n">
        <v>8</v>
      </c>
      <c r="G55" s="32" t="n">
        <v>9</v>
      </c>
      <c r="H55" s="32" t="n">
        <v>7</v>
      </c>
      <c r="I55" s="32" t="n">
        <v>9</v>
      </c>
      <c r="J55" s="32" t="n">
        <v>8</v>
      </c>
      <c r="K55" s="32" t="n">
        <v>9</v>
      </c>
      <c r="L55" s="32" t="n">
        <v>9</v>
      </c>
      <c r="M55" s="80">
        <f>IF(COUNT(C55:L55)=0,"",SUM(C55:L55))</f>
        <v/>
      </c>
      <c r="N55" s="45">
        <f>IF(M55="","",IF(M55&lt;50,"يحتاج دعماً",IF(M55&lt;75,"جيد","ممتاز")))</f>
        <v/>
      </c>
    </row>
    <row r="56" ht="18" customHeight="1">
      <c r="A56" s="81" t="n">
        <v>52</v>
      </c>
      <c r="B56" s="82">
        <f>'قاعدة الأسماء'!B56</f>
        <v/>
      </c>
      <c r="C56" s="83" t="n">
        <v>7</v>
      </c>
      <c r="D56" s="83" t="n">
        <v>8</v>
      </c>
      <c r="E56" s="83" t="n">
        <v>6</v>
      </c>
      <c r="F56" s="83" t="n">
        <v>8</v>
      </c>
      <c r="G56" s="83" t="n">
        <v>9</v>
      </c>
      <c r="H56" s="83" t="n">
        <v>9</v>
      </c>
      <c r="I56" s="83" t="n">
        <v>7</v>
      </c>
      <c r="J56" s="83" t="n">
        <v>8</v>
      </c>
      <c r="K56" s="83" t="n">
        <v>6</v>
      </c>
      <c r="L56" s="83" t="n">
        <v>7</v>
      </c>
      <c r="M56" s="84">
        <f>IF(COUNT(C56:L56)=0,"",SUM(C56:L56))</f>
        <v/>
      </c>
      <c r="N56" s="85">
        <f>IF(M56="","",IF(M56&lt;50,"يحتاج دعماً",IF(M56&lt;75,"جيد","ممتاز")))</f>
        <v/>
      </c>
    </row>
    <row r="57" ht="18" customHeight="1">
      <c r="A57" s="79" t="n">
        <v>53</v>
      </c>
      <c r="B57" s="31">
        <f>'قاعدة الأسماء'!B57</f>
        <v/>
      </c>
      <c r="C57" s="32" t="n">
        <v>9</v>
      </c>
      <c r="D57" s="32" t="n">
        <v>8</v>
      </c>
      <c r="E57" s="32" t="n">
        <v>9</v>
      </c>
      <c r="F57" s="32" t="n">
        <v>8</v>
      </c>
      <c r="G57" s="32" t="n">
        <v>8</v>
      </c>
      <c r="H57" s="32" t="n">
        <v>8</v>
      </c>
      <c r="I57" s="32" t="n">
        <v>8</v>
      </c>
      <c r="J57" s="32" t="n">
        <v>9</v>
      </c>
      <c r="K57" s="32" t="n">
        <v>8</v>
      </c>
      <c r="L57" s="32" t="n">
        <v>8</v>
      </c>
      <c r="M57" s="80">
        <f>IF(COUNT(C57:L57)=0,"",SUM(C57:L57))</f>
        <v/>
      </c>
      <c r="N57" s="45">
        <f>IF(M57="","",IF(M57&lt;50,"يحتاج دعماً",IF(M57&lt;75,"جيد","ممتاز")))</f>
        <v/>
      </c>
    </row>
    <row r="58" ht="18" customHeight="1">
      <c r="A58" s="81" t="n">
        <v>54</v>
      </c>
      <c r="B58" s="82">
        <f>'قاعدة الأسماء'!B58</f>
        <v/>
      </c>
      <c r="C58" s="83" t="n">
        <v>6</v>
      </c>
      <c r="D58" s="83" t="n">
        <v>5</v>
      </c>
      <c r="E58" s="83" t="n">
        <v>4</v>
      </c>
      <c r="F58" s="83" t="n">
        <v>5</v>
      </c>
      <c r="G58" s="83" t="n">
        <v>7</v>
      </c>
      <c r="H58" s="83" t="n">
        <v>6</v>
      </c>
      <c r="I58" s="83" t="n">
        <v>7</v>
      </c>
      <c r="J58" s="83" t="n">
        <v>6</v>
      </c>
      <c r="K58" s="83" t="n">
        <v>6</v>
      </c>
      <c r="L58" s="83" t="n">
        <v>8</v>
      </c>
      <c r="M58" s="84">
        <f>IF(COUNT(C58:L58)=0,"",SUM(C58:L58))</f>
        <v/>
      </c>
      <c r="N58" s="85">
        <f>IF(M58="","",IF(M58&lt;50,"يحتاج دعماً",IF(M58&lt;75,"جيد","ممتاز")))</f>
        <v/>
      </c>
    </row>
    <row r="59" ht="18" customHeight="1">
      <c r="A59" s="79" t="n">
        <v>55</v>
      </c>
      <c r="B59" s="31">
        <f>'قاعدة الأسماء'!B59</f>
        <v/>
      </c>
      <c r="C59" s="32" t="n">
        <v>9</v>
      </c>
      <c r="D59" s="32" t="n">
        <v>7</v>
      </c>
      <c r="E59" s="32" t="n">
        <v>7</v>
      </c>
      <c r="F59" s="32" t="n">
        <v>6</v>
      </c>
      <c r="G59" s="32" t="n">
        <v>8</v>
      </c>
      <c r="H59" s="32" t="n">
        <v>7</v>
      </c>
      <c r="I59" s="32" t="n">
        <v>7</v>
      </c>
      <c r="J59" s="32" t="n">
        <v>7</v>
      </c>
      <c r="K59" s="32" t="n">
        <v>6</v>
      </c>
      <c r="L59" s="32" t="n">
        <v>8</v>
      </c>
      <c r="M59" s="80">
        <f>IF(COUNT(C59:L59)=0,"",SUM(C59:L59))</f>
        <v/>
      </c>
      <c r="N59" s="45">
        <f>IF(M59="","",IF(M59&lt;50,"يحتاج دعماً",IF(M59&lt;75,"جيد","ممتاز")))</f>
        <v/>
      </c>
    </row>
    <row r="60" ht="18" customHeight="1">
      <c r="A60" s="81" t="n">
        <v>56</v>
      </c>
      <c r="B60" s="82">
        <f>'قاعدة الأسماء'!B60</f>
        <v/>
      </c>
      <c r="C60" s="83" t="n">
        <v>9</v>
      </c>
      <c r="D60" s="83" t="n">
        <v>7</v>
      </c>
      <c r="E60" s="83" t="n">
        <v>7</v>
      </c>
      <c r="F60" s="83" t="n">
        <v>7</v>
      </c>
      <c r="G60" s="83" t="n">
        <v>7</v>
      </c>
      <c r="H60" s="83" t="n">
        <v>7</v>
      </c>
      <c r="I60" s="83" t="n">
        <v>8</v>
      </c>
      <c r="J60" s="83" t="n">
        <v>8</v>
      </c>
      <c r="K60" s="83" t="n">
        <v>7</v>
      </c>
      <c r="L60" s="83" t="n">
        <v>9</v>
      </c>
      <c r="M60" s="84">
        <f>IF(COUNT(C60:L60)=0,"",SUM(C60:L60))</f>
        <v/>
      </c>
      <c r="N60" s="85">
        <f>IF(M60="","",IF(M60&lt;50,"يحتاج دعماً",IF(M60&lt;75,"جيد","ممتاز")))</f>
        <v/>
      </c>
    </row>
    <row r="61" ht="18" customHeight="1">
      <c r="A61" s="79" t="n">
        <v>57</v>
      </c>
      <c r="B61" s="31">
        <f>'قاعدة الأسماء'!B61</f>
        <v/>
      </c>
      <c r="C61" s="32" t="n">
        <v>7</v>
      </c>
      <c r="D61" s="32" t="n">
        <v>9</v>
      </c>
      <c r="E61" s="32" t="n">
        <v>6</v>
      </c>
      <c r="F61" s="32" t="n">
        <v>7</v>
      </c>
      <c r="G61" s="32" t="n">
        <v>7</v>
      </c>
      <c r="H61" s="32" t="n">
        <v>6</v>
      </c>
      <c r="I61" s="32" t="n">
        <v>9</v>
      </c>
      <c r="J61" s="32" t="n">
        <v>8</v>
      </c>
      <c r="K61" s="32" t="n">
        <v>7</v>
      </c>
      <c r="L61" s="32" t="n">
        <v>7</v>
      </c>
      <c r="M61" s="80">
        <f>IF(COUNT(C61:L61)=0,"",SUM(C61:L61))</f>
        <v/>
      </c>
      <c r="N61" s="45">
        <f>IF(M61="","",IF(M61&lt;50,"يحتاج دعماً",IF(M61&lt;75,"جيد","ممتاز")))</f>
        <v/>
      </c>
    </row>
    <row r="62" ht="18" customHeight="1">
      <c r="A62" s="81" t="n">
        <v>58</v>
      </c>
      <c r="B62" s="82">
        <f>'قاعدة الأسماء'!B62</f>
        <v/>
      </c>
      <c r="C62" s="83" t="n">
        <v>7</v>
      </c>
      <c r="D62" s="83" t="n">
        <v>7</v>
      </c>
      <c r="E62" s="83" t="n">
        <v>7</v>
      </c>
      <c r="F62" s="83" t="n">
        <v>6</v>
      </c>
      <c r="G62" s="83" t="n">
        <v>8</v>
      </c>
      <c r="H62" s="83" t="n">
        <v>6</v>
      </c>
      <c r="I62" s="83" t="n">
        <v>9</v>
      </c>
      <c r="J62" s="83" t="n">
        <v>7</v>
      </c>
      <c r="K62" s="83" t="n">
        <v>8</v>
      </c>
      <c r="L62" s="83" t="n">
        <v>8</v>
      </c>
      <c r="M62" s="84">
        <f>IF(COUNT(C62:L62)=0,"",SUM(C62:L62))</f>
        <v/>
      </c>
      <c r="N62" s="85">
        <f>IF(M62="","",IF(M62&lt;50,"يحتاج دعماً",IF(M62&lt;75,"جيد","ممتاز")))</f>
        <v/>
      </c>
    </row>
    <row r="63" ht="18" customHeight="1">
      <c r="A63" s="79" t="n">
        <v>59</v>
      </c>
      <c r="B63" s="31">
        <f>'قاعدة الأسماء'!B63</f>
        <v/>
      </c>
      <c r="C63" s="32" t="n">
        <v>8</v>
      </c>
      <c r="D63" s="32" t="n">
        <v>7</v>
      </c>
      <c r="E63" s="32" t="n">
        <v>6</v>
      </c>
      <c r="F63" s="32" t="n">
        <v>7</v>
      </c>
      <c r="G63" s="32" t="n">
        <v>8</v>
      </c>
      <c r="H63" s="32" t="n">
        <v>7</v>
      </c>
      <c r="I63" s="32" t="n">
        <v>8</v>
      </c>
      <c r="J63" s="32" t="n">
        <v>6</v>
      </c>
      <c r="K63" s="32" t="n">
        <v>6</v>
      </c>
      <c r="L63" s="32" t="n">
        <v>5</v>
      </c>
      <c r="M63" s="80">
        <f>IF(COUNT(C63:L63)=0,"",SUM(C63:L63))</f>
        <v/>
      </c>
      <c r="N63" s="45">
        <f>IF(M63="","",IF(M63&lt;50,"يحتاج دعماً",IF(M63&lt;75,"جيد","ممتاز")))</f>
        <v/>
      </c>
    </row>
    <row r="64" ht="18" customHeight="1">
      <c r="A64" s="81" t="n">
        <v>60</v>
      </c>
      <c r="B64" s="82">
        <f>'قاعدة الأسماء'!B64</f>
        <v/>
      </c>
      <c r="C64" s="83" t="n">
        <v>7</v>
      </c>
      <c r="D64" s="83" t="n">
        <v>8</v>
      </c>
      <c r="E64" s="83" t="n">
        <v>6</v>
      </c>
      <c r="F64" s="83" t="n">
        <v>6</v>
      </c>
      <c r="G64" s="83" t="n">
        <v>6</v>
      </c>
      <c r="H64" s="83" t="n">
        <v>7</v>
      </c>
      <c r="I64" s="83" t="n">
        <v>8</v>
      </c>
      <c r="J64" s="83" t="n">
        <v>6</v>
      </c>
      <c r="K64" s="83" t="n">
        <v>6</v>
      </c>
      <c r="L64" s="83" t="n">
        <v>9</v>
      </c>
      <c r="M64" s="84">
        <f>IF(COUNT(C64:L64)=0,"",SUM(C64:L64))</f>
        <v/>
      </c>
      <c r="N64" s="85">
        <f>IF(M64="","",IF(M64&lt;50,"يحتاج دعماً",IF(M64&lt;75,"جيد","ممتاز")))</f>
        <v/>
      </c>
    </row>
    <row r="65" ht="18" customHeight="1">
      <c r="A65" s="79" t="n">
        <v>61</v>
      </c>
      <c r="B65" s="31">
        <f>'قاعدة الأسماء'!B65</f>
        <v/>
      </c>
      <c r="C65" s="32" t="n">
        <v>7</v>
      </c>
      <c r="D65" s="32" t="n">
        <v>8</v>
      </c>
      <c r="E65" s="32" t="n">
        <v>6</v>
      </c>
      <c r="F65" s="32" t="n">
        <v>6</v>
      </c>
      <c r="G65" s="32" t="n">
        <v>7</v>
      </c>
      <c r="H65" s="32" t="n">
        <v>8</v>
      </c>
      <c r="I65" s="32" t="n">
        <v>8</v>
      </c>
      <c r="J65" s="32" t="n">
        <v>7</v>
      </c>
      <c r="K65" s="32" t="n">
        <v>8</v>
      </c>
      <c r="L65" s="32" t="n">
        <v>6</v>
      </c>
      <c r="M65" s="80">
        <f>IF(COUNT(C65:L65)=0,"",SUM(C65:L65))</f>
        <v/>
      </c>
      <c r="N65" s="45">
        <f>IF(M65="","",IF(M65&lt;50,"يحتاج دعماً",IF(M65&lt;75,"جيد","ممتاز")))</f>
        <v/>
      </c>
    </row>
    <row r="66" ht="18" customHeight="1">
      <c r="A66" s="81" t="n">
        <v>62</v>
      </c>
      <c r="B66" s="82">
        <f>'قاعدة الأسماء'!B66</f>
        <v/>
      </c>
      <c r="C66" s="83" t="n">
        <v>8</v>
      </c>
      <c r="D66" s="83" t="n">
        <v>9</v>
      </c>
      <c r="E66" s="83" t="n">
        <v>8</v>
      </c>
      <c r="F66" s="83" t="n">
        <v>8</v>
      </c>
      <c r="G66" s="83" t="n">
        <v>7</v>
      </c>
      <c r="H66" s="83" t="n">
        <v>7</v>
      </c>
      <c r="I66" s="83" t="n">
        <v>9</v>
      </c>
      <c r="J66" s="83" t="n">
        <v>5</v>
      </c>
      <c r="K66" s="83" t="n">
        <v>7</v>
      </c>
      <c r="L66" s="83" t="n">
        <v>7</v>
      </c>
      <c r="M66" s="84">
        <f>IF(COUNT(C66:L66)=0,"",SUM(C66:L66))</f>
        <v/>
      </c>
      <c r="N66" s="85">
        <f>IF(M66="","",IF(M66&lt;50,"يحتاج دعماً",IF(M66&lt;75,"جيد","ممتاز")))</f>
        <v/>
      </c>
    </row>
    <row r="67" ht="18" customHeight="1">
      <c r="A67" s="79" t="n">
        <v>63</v>
      </c>
      <c r="B67" s="31">
        <f>'قاعدة الأسماء'!B67</f>
        <v/>
      </c>
      <c r="C67" s="32" t="n">
        <v>6</v>
      </c>
      <c r="D67" s="32" t="n">
        <v>7</v>
      </c>
      <c r="E67" s="32" t="n">
        <v>7</v>
      </c>
      <c r="F67" s="32" t="n">
        <v>7</v>
      </c>
      <c r="G67" s="32" t="n">
        <v>6</v>
      </c>
      <c r="H67" s="32" t="n">
        <v>7</v>
      </c>
      <c r="I67" s="32" t="n">
        <v>8</v>
      </c>
      <c r="J67" s="32" t="n">
        <v>8</v>
      </c>
      <c r="K67" s="32" t="n">
        <v>8</v>
      </c>
      <c r="L67" s="32" t="n">
        <v>8</v>
      </c>
      <c r="M67" s="80">
        <f>IF(COUNT(C67:L67)=0,"",SUM(C67:L67))</f>
        <v/>
      </c>
      <c r="N67" s="45">
        <f>IF(M67="","",IF(M67&lt;50,"يحتاج دعماً",IF(M67&lt;75,"جيد","ممتاز")))</f>
        <v/>
      </c>
    </row>
    <row r="68" ht="18" customHeight="1">
      <c r="A68" s="81" t="n">
        <v>64</v>
      </c>
      <c r="B68" s="82">
        <f>'قاعدة الأسماء'!B68</f>
        <v/>
      </c>
      <c r="C68" s="83" t="n">
        <v>8</v>
      </c>
      <c r="D68" s="83" t="n">
        <v>7</v>
      </c>
      <c r="E68" s="83" t="n">
        <v>5</v>
      </c>
      <c r="F68" s="83" t="n">
        <v>6</v>
      </c>
      <c r="G68" s="83" t="n">
        <v>7</v>
      </c>
      <c r="H68" s="83" t="n">
        <v>7</v>
      </c>
      <c r="I68" s="83" t="n">
        <v>7</v>
      </c>
      <c r="J68" s="83" t="n">
        <v>6</v>
      </c>
      <c r="K68" s="83" t="n">
        <v>8</v>
      </c>
      <c r="L68" s="83" t="n">
        <v>7</v>
      </c>
      <c r="M68" s="84">
        <f>IF(COUNT(C68:L68)=0,"",SUM(C68:L68))</f>
        <v/>
      </c>
      <c r="N68" s="85">
        <f>IF(M68="","",IF(M68&lt;50,"يحتاج دعماً",IF(M68&lt;75,"جيد","ممتاز")))</f>
        <v/>
      </c>
    </row>
    <row r="69" ht="18" customHeight="1">
      <c r="A69" s="79" t="n">
        <v>65</v>
      </c>
      <c r="B69" s="31">
        <f>'قاعدة الأسماء'!B69</f>
        <v/>
      </c>
      <c r="C69" s="32" t="n">
        <v>8</v>
      </c>
      <c r="D69" s="32" t="n">
        <v>9</v>
      </c>
      <c r="E69" s="32" t="n">
        <v>8</v>
      </c>
      <c r="F69" s="32" t="n">
        <v>7</v>
      </c>
      <c r="G69" s="32" t="n">
        <v>5</v>
      </c>
      <c r="H69" s="32" t="n">
        <v>6</v>
      </c>
      <c r="I69" s="32" t="n">
        <v>9</v>
      </c>
      <c r="J69" s="32" t="n">
        <v>5</v>
      </c>
      <c r="K69" s="32" t="n">
        <v>6</v>
      </c>
      <c r="L69" s="32" t="n">
        <v>7</v>
      </c>
      <c r="M69" s="80">
        <f>IF(COUNT(C69:L69)=0,"",SUM(C69:L69))</f>
        <v/>
      </c>
      <c r="N69" s="45">
        <f>IF(M69="","",IF(M69&lt;50,"يحتاج دعماً",IF(M69&lt;75,"جيد","ممتاز")))</f>
        <v/>
      </c>
    </row>
    <row r="70" ht="18" customHeight="1">
      <c r="A70" s="81" t="n">
        <v>66</v>
      </c>
      <c r="B70" s="82">
        <f>'قاعدة الأسماء'!B70</f>
        <v/>
      </c>
      <c r="C70" s="83" t="n">
        <v>9</v>
      </c>
      <c r="D70" s="83" t="n">
        <v>7</v>
      </c>
      <c r="E70" s="83" t="n">
        <v>7</v>
      </c>
      <c r="F70" s="83" t="n">
        <v>8</v>
      </c>
      <c r="G70" s="83" t="n">
        <v>7</v>
      </c>
      <c r="H70" s="83" t="n">
        <v>7</v>
      </c>
      <c r="I70" s="83" t="n">
        <v>7</v>
      </c>
      <c r="J70" s="83" t="n">
        <v>8</v>
      </c>
      <c r="K70" s="83" t="n">
        <v>7</v>
      </c>
      <c r="L70" s="83" t="n">
        <v>6</v>
      </c>
      <c r="M70" s="84">
        <f>IF(COUNT(C70:L70)=0,"",SUM(C70:L70))</f>
        <v/>
      </c>
      <c r="N70" s="85">
        <f>IF(M70="","",IF(M70&lt;50,"يحتاج دعماً",IF(M70&lt;75,"جيد","ممتاز")))</f>
        <v/>
      </c>
    </row>
    <row r="71" ht="18" customHeight="1">
      <c r="A71" s="79" t="n">
        <v>67</v>
      </c>
      <c r="B71" s="31">
        <f>'قاعدة الأسماء'!B71</f>
        <v/>
      </c>
      <c r="C71" s="32" t="n">
        <v>8</v>
      </c>
      <c r="D71" s="32" t="n">
        <v>6</v>
      </c>
      <c r="E71" s="32" t="n">
        <v>7</v>
      </c>
      <c r="F71" s="32" t="n">
        <v>7</v>
      </c>
      <c r="G71" s="32" t="n">
        <v>9</v>
      </c>
      <c r="H71" s="32" t="n">
        <v>6</v>
      </c>
      <c r="I71" s="32" t="n">
        <v>8</v>
      </c>
      <c r="J71" s="32" t="n">
        <v>6</v>
      </c>
      <c r="K71" s="32" t="n">
        <v>8</v>
      </c>
      <c r="L71" s="32" t="n">
        <v>8</v>
      </c>
      <c r="M71" s="80">
        <f>IF(COUNT(C71:L71)=0,"",SUM(C71:L71))</f>
        <v/>
      </c>
      <c r="N71" s="45">
        <f>IF(M71="","",IF(M71&lt;50,"يحتاج دعماً",IF(M71&lt;75,"جيد","ممتاز")))</f>
        <v/>
      </c>
    </row>
    <row r="72" ht="18" customHeight="1">
      <c r="A72" s="81" t="n">
        <v>68</v>
      </c>
      <c r="B72" s="82">
        <f>'قاعدة الأسماء'!B72</f>
        <v/>
      </c>
      <c r="C72" s="83" t="n">
        <v>9</v>
      </c>
      <c r="D72" s="83" t="n">
        <v>8</v>
      </c>
      <c r="E72" s="83" t="n">
        <v>7</v>
      </c>
      <c r="F72" s="83" t="n">
        <v>7</v>
      </c>
      <c r="G72" s="83" t="n">
        <v>8</v>
      </c>
      <c r="H72" s="83" t="n">
        <v>9</v>
      </c>
      <c r="I72" s="83" t="n">
        <v>8</v>
      </c>
      <c r="J72" s="83" t="n">
        <v>7</v>
      </c>
      <c r="K72" s="83" t="n">
        <v>7</v>
      </c>
      <c r="L72" s="83" t="n">
        <v>9</v>
      </c>
      <c r="M72" s="84">
        <f>IF(COUNT(C72:L72)=0,"",SUM(C72:L72))</f>
        <v/>
      </c>
      <c r="N72" s="85">
        <f>IF(M72="","",IF(M72&lt;50,"يحتاج دعماً",IF(M72&lt;75,"جيد","ممتاز")))</f>
        <v/>
      </c>
    </row>
    <row r="73" ht="18" customHeight="1">
      <c r="A73" s="79" t="n">
        <v>69</v>
      </c>
      <c r="B73" s="31">
        <f>'قاعدة الأسماء'!B73</f>
        <v/>
      </c>
      <c r="C73" s="32" t="n">
        <v>7</v>
      </c>
      <c r="D73" s="32" t="n">
        <v>7</v>
      </c>
      <c r="E73" s="32" t="n">
        <v>7</v>
      </c>
      <c r="F73" s="32" t="n">
        <v>5</v>
      </c>
      <c r="G73" s="32" t="n">
        <v>7</v>
      </c>
      <c r="H73" s="32" t="n">
        <v>8</v>
      </c>
      <c r="I73" s="32" t="n">
        <v>8</v>
      </c>
      <c r="J73" s="32" t="n">
        <v>7</v>
      </c>
      <c r="K73" s="32" t="n">
        <v>5</v>
      </c>
      <c r="L73" s="32" t="n">
        <v>7</v>
      </c>
      <c r="M73" s="80">
        <f>IF(COUNT(C73:L73)=0,"",SUM(C73:L73))</f>
        <v/>
      </c>
      <c r="N73" s="45">
        <f>IF(M73="","",IF(M73&lt;50,"يحتاج دعماً",IF(M73&lt;75,"جيد","ممتاز")))</f>
        <v/>
      </c>
    </row>
    <row r="74" ht="18" customHeight="1">
      <c r="A74" s="81" t="n">
        <v>70</v>
      </c>
      <c r="B74" s="82">
        <f>'قاعدة الأسماء'!B74</f>
        <v/>
      </c>
      <c r="C74" s="83" t="n">
        <v>7</v>
      </c>
      <c r="D74" s="83" t="n">
        <v>7</v>
      </c>
      <c r="E74" s="83" t="n">
        <v>6</v>
      </c>
      <c r="F74" s="83" t="n">
        <v>7</v>
      </c>
      <c r="G74" s="83" t="n">
        <v>8</v>
      </c>
      <c r="H74" s="83" t="n">
        <v>6</v>
      </c>
      <c r="I74" s="83" t="n">
        <v>6</v>
      </c>
      <c r="J74" s="83" t="n">
        <v>8</v>
      </c>
      <c r="K74" s="83" t="n">
        <v>7</v>
      </c>
      <c r="L74" s="83" t="n">
        <v>6</v>
      </c>
      <c r="M74" s="84">
        <f>IF(COUNT(C74:L74)=0,"",SUM(C74:L74))</f>
        <v/>
      </c>
      <c r="N74" s="85">
        <f>IF(M74="","",IF(M74&lt;50,"يحتاج دعماً",IF(M74&lt;75,"جيد","ممتاز")))</f>
        <v/>
      </c>
    </row>
    <row r="75" ht="18" customHeight="1">
      <c r="A75" s="79" t="n">
        <v>71</v>
      </c>
      <c r="B75" s="31">
        <f>'قاعدة الأسماء'!B75</f>
        <v/>
      </c>
      <c r="C75" s="32" t="n">
        <v>8</v>
      </c>
      <c r="D75" s="32" t="n">
        <v>9</v>
      </c>
      <c r="E75" s="32" t="n">
        <v>6</v>
      </c>
      <c r="F75" s="32" t="n">
        <v>6</v>
      </c>
      <c r="G75" s="32" t="n">
        <v>8</v>
      </c>
      <c r="H75" s="32" t="n">
        <v>7</v>
      </c>
      <c r="I75" s="32" t="n">
        <v>8</v>
      </c>
      <c r="J75" s="32" t="n">
        <v>7</v>
      </c>
      <c r="K75" s="32" t="n">
        <v>7</v>
      </c>
      <c r="L75" s="32" t="n">
        <v>8</v>
      </c>
      <c r="M75" s="80">
        <f>IF(COUNT(C75:L75)=0,"",SUM(C75:L75))</f>
        <v/>
      </c>
      <c r="N75" s="45">
        <f>IF(M75="","",IF(M75&lt;50,"يحتاج دعماً",IF(M75&lt;75,"جيد","ممتاز")))</f>
        <v/>
      </c>
    </row>
    <row r="76" ht="18" customHeight="1">
      <c r="A76" s="81" t="n">
        <v>72</v>
      </c>
      <c r="B76" s="82">
        <f>'قاعدة الأسماء'!B76</f>
        <v/>
      </c>
      <c r="C76" s="83" t="n">
        <v>8</v>
      </c>
      <c r="D76" s="83" t="n">
        <v>8</v>
      </c>
      <c r="E76" s="83" t="n">
        <v>6</v>
      </c>
      <c r="F76" s="83" t="n">
        <v>7</v>
      </c>
      <c r="G76" s="83" t="n">
        <v>7</v>
      </c>
      <c r="H76" s="83" t="n">
        <v>9</v>
      </c>
      <c r="I76" s="83" t="n">
        <v>8</v>
      </c>
      <c r="J76" s="83" t="n">
        <v>7</v>
      </c>
      <c r="K76" s="83" t="n">
        <v>8</v>
      </c>
      <c r="L76" s="83" t="n">
        <v>8</v>
      </c>
      <c r="M76" s="84">
        <f>IF(COUNT(C76:L76)=0,"",SUM(C76:L76))</f>
        <v/>
      </c>
      <c r="N76" s="85">
        <f>IF(M76="","",IF(M76&lt;50,"يحتاج دعماً",IF(M76&lt;75,"جيد","ممتاز")))</f>
        <v/>
      </c>
    </row>
    <row r="77" ht="18" customHeight="1">
      <c r="A77" s="79" t="n">
        <v>73</v>
      </c>
      <c r="B77" s="31">
        <f>'قاعدة الأسماء'!B77</f>
        <v/>
      </c>
      <c r="C77" s="32" t="n">
        <v>7</v>
      </c>
      <c r="D77" s="32" t="n">
        <v>7</v>
      </c>
      <c r="E77" s="32" t="n">
        <v>7</v>
      </c>
      <c r="F77" s="32" t="n">
        <v>8</v>
      </c>
      <c r="G77" s="32" t="n">
        <v>8</v>
      </c>
      <c r="H77" s="32" t="n">
        <v>6</v>
      </c>
      <c r="I77" s="32" t="n">
        <v>10</v>
      </c>
      <c r="J77" s="32" t="n">
        <v>7</v>
      </c>
      <c r="K77" s="32" t="n">
        <v>7</v>
      </c>
      <c r="L77" s="32" t="n">
        <v>7</v>
      </c>
      <c r="M77" s="80">
        <f>IF(COUNT(C77:L77)=0,"",SUM(C77:L77))</f>
        <v/>
      </c>
      <c r="N77" s="45">
        <f>IF(M77="","",IF(M77&lt;50,"يحتاج دعماً",IF(M77&lt;75,"جيد","ممتاز")))</f>
        <v/>
      </c>
    </row>
    <row r="78" ht="18" customHeight="1">
      <c r="A78" s="81" t="n">
        <v>74</v>
      </c>
      <c r="B78" s="82">
        <f>'قاعدة الأسماء'!B78</f>
        <v/>
      </c>
      <c r="C78" s="83" t="n">
        <v>7</v>
      </c>
      <c r="D78" s="83" t="n">
        <v>9</v>
      </c>
      <c r="E78" s="83" t="n">
        <v>7</v>
      </c>
      <c r="F78" s="83" t="n">
        <v>7</v>
      </c>
      <c r="G78" s="83" t="n">
        <v>9</v>
      </c>
      <c r="H78" s="83" t="n">
        <v>6</v>
      </c>
      <c r="I78" s="83" t="n">
        <v>8</v>
      </c>
      <c r="J78" s="83" t="n">
        <v>8</v>
      </c>
      <c r="K78" s="83" t="n">
        <v>7</v>
      </c>
      <c r="L78" s="83" t="n">
        <v>8</v>
      </c>
      <c r="M78" s="84">
        <f>IF(COUNT(C78:L78)=0,"",SUM(C78:L78))</f>
        <v/>
      </c>
      <c r="N78" s="85">
        <f>IF(M78="","",IF(M78&lt;50,"يحتاج دعماً",IF(M78&lt;75,"جيد","ممتاز")))</f>
        <v/>
      </c>
    </row>
    <row r="79" ht="18" customHeight="1">
      <c r="A79" s="79" t="n">
        <v>75</v>
      </c>
      <c r="B79" s="31">
        <f>'قاعدة الأسماء'!B79</f>
        <v/>
      </c>
      <c r="C79" s="32" t="n">
        <v>6</v>
      </c>
      <c r="D79" s="32" t="n">
        <v>6</v>
      </c>
      <c r="E79" s="32" t="n">
        <v>6</v>
      </c>
      <c r="F79" s="32" t="n">
        <v>6</v>
      </c>
      <c r="G79" s="32" t="n">
        <v>5</v>
      </c>
      <c r="H79" s="32" t="n">
        <v>6</v>
      </c>
      <c r="I79" s="32" t="n">
        <v>8</v>
      </c>
      <c r="J79" s="32" t="n">
        <v>6</v>
      </c>
      <c r="K79" s="32" t="n">
        <v>5</v>
      </c>
      <c r="L79" s="32" t="n">
        <v>6</v>
      </c>
      <c r="M79" s="80">
        <f>IF(COUNT(C79:L79)=0,"",SUM(C79:L79))</f>
        <v/>
      </c>
      <c r="N79" s="45">
        <f>IF(M79="","",IF(M79&lt;50,"يحتاج دعماً",IF(M79&lt;75,"جيد","ممتاز")))</f>
        <v/>
      </c>
    </row>
    <row r="80" ht="18" customHeight="1">
      <c r="A80" s="81" t="n">
        <v>76</v>
      </c>
      <c r="B80" s="82">
        <f>'قاعدة الأسماء'!B80</f>
        <v/>
      </c>
      <c r="C80" s="83" t="n">
        <v>5</v>
      </c>
      <c r="D80" s="83" t="n">
        <v>6</v>
      </c>
      <c r="E80" s="83" t="n">
        <v>4</v>
      </c>
      <c r="F80" s="83" t="n">
        <v>4</v>
      </c>
      <c r="G80" s="83" t="n">
        <v>6</v>
      </c>
      <c r="H80" s="83" t="n">
        <v>4</v>
      </c>
      <c r="I80" s="83" t="n">
        <v>5</v>
      </c>
      <c r="J80" s="83" t="n">
        <v>5</v>
      </c>
      <c r="K80" s="83" t="n">
        <v>5</v>
      </c>
      <c r="L80" s="83" t="n">
        <v>5</v>
      </c>
      <c r="M80" s="84">
        <f>IF(COUNT(C80:L80)=0,"",SUM(C80:L80))</f>
        <v/>
      </c>
      <c r="N80" s="85">
        <f>IF(M80="","",IF(M80&lt;50,"يحتاج دعماً",IF(M80&lt;75,"جيد","ممتاز")))</f>
        <v/>
      </c>
    </row>
    <row r="81" ht="18" customHeight="1">
      <c r="A81" s="79" t="n">
        <v>77</v>
      </c>
      <c r="B81" s="31">
        <f>'قاعدة الأسماء'!B81</f>
        <v/>
      </c>
      <c r="C81" s="32" t="n">
        <v>6</v>
      </c>
      <c r="D81" s="32" t="n">
        <v>6</v>
      </c>
      <c r="E81" s="32" t="n">
        <v>5</v>
      </c>
      <c r="F81" s="32" t="n">
        <v>6</v>
      </c>
      <c r="G81" s="32" t="n">
        <v>7</v>
      </c>
      <c r="H81" s="32" t="n">
        <v>6</v>
      </c>
      <c r="I81" s="32" t="n">
        <v>7</v>
      </c>
      <c r="J81" s="32" t="n">
        <v>5</v>
      </c>
      <c r="K81" s="32" t="n">
        <v>5</v>
      </c>
      <c r="L81" s="32" t="n">
        <v>5</v>
      </c>
      <c r="M81" s="80">
        <f>IF(COUNT(C81:L81)=0,"",SUM(C81:L81))</f>
        <v/>
      </c>
      <c r="N81" s="45">
        <f>IF(M81="","",IF(M81&lt;50,"يحتاج دعماً",IF(M81&lt;75,"جيد","ممتاز")))</f>
        <v/>
      </c>
    </row>
    <row r="82" ht="18" customHeight="1">
      <c r="A82" s="81" t="n">
        <v>78</v>
      </c>
      <c r="B82" s="82">
        <f>'قاعدة الأسماء'!B82</f>
        <v/>
      </c>
      <c r="C82" s="83" t="n">
        <v>6</v>
      </c>
      <c r="D82" s="83" t="n">
        <v>5</v>
      </c>
      <c r="E82" s="83" t="n">
        <v>6</v>
      </c>
      <c r="F82" s="83" t="n">
        <v>5</v>
      </c>
      <c r="G82" s="83" t="n">
        <v>7</v>
      </c>
      <c r="H82" s="83" t="n">
        <v>5</v>
      </c>
      <c r="I82" s="83" t="n">
        <v>6</v>
      </c>
      <c r="J82" s="83" t="n">
        <v>7</v>
      </c>
      <c r="K82" s="83" t="n">
        <v>6</v>
      </c>
      <c r="L82" s="83" t="n">
        <v>4</v>
      </c>
      <c r="M82" s="84">
        <f>IF(COUNT(C82:L82)=0,"",SUM(C82:L82))</f>
        <v/>
      </c>
      <c r="N82" s="85">
        <f>IF(M82="","",IF(M82&lt;50,"يحتاج دعماً",IF(M82&lt;75,"جيد","ممتاز")))</f>
        <v/>
      </c>
    </row>
    <row r="83" ht="18" customHeight="1">
      <c r="A83" s="79" t="n">
        <v>79</v>
      </c>
      <c r="B83" s="31">
        <f>'قاعدة الأسماء'!B83</f>
        <v/>
      </c>
      <c r="C83" s="32" t="n">
        <v>5</v>
      </c>
      <c r="D83" s="32" t="n">
        <v>5</v>
      </c>
      <c r="E83" s="32" t="n">
        <v>4</v>
      </c>
      <c r="F83" s="32" t="n">
        <v>6</v>
      </c>
      <c r="G83" s="32" t="n">
        <v>7</v>
      </c>
      <c r="H83" s="32" t="n">
        <v>6</v>
      </c>
      <c r="I83" s="32" t="n">
        <v>5</v>
      </c>
      <c r="J83" s="32" t="n">
        <v>4</v>
      </c>
      <c r="K83" s="32" t="n">
        <v>6</v>
      </c>
      <c r="L83" s="32" t="n">
        <v>5</v>
      </c>
      <c r="M83" s="80">
        <f>IF(COUNT(C83:L83)=0,"",SUM(C83:L83))</f>
        <v/>
      </c>
      <c r="N83" s="45">
        <f>IF(M83="","",IF(M83&lt;50,"يحتاج دعماً",IF(M83&lt;75,"جيد","ممتاز")))</f>
        <v/>
      </c>
    </row>
    <row r="84" ht="18" customHeight="1">
      <c r="A84" s="81" t="n">
        <v>80</v>
      </c>
      <c r="B84" s="82">
        <f>'قاعدة الأسماء'!B84</f>
        <v/>
      </c>
      <c r="C84" s="83" t="n">
        <v>6</v>
      </c>
      <c r="D84" s="83" t="n">
        <v>5</v>
      </c>
      <c r="E84" s="83" t="n">
        <v>5</v>
      </c>
      <c r="F84" s="83" t="n">
        <v>4</v>
      </c>
      <c r="G84" s="83" t="n">
        <v>5</v>
      </c>
      <c r="H84" s="83" t="n">
        <v>6</v>
      </c>
      <c r="I84" s="83" t="n">
        <v>5</v>
      </c>
      <c r="J84" s="83" t="n">
        <v>4</v>
      </c>
      <c r="K84" s="83" t="n">
        <v>5</v>
      </c>
      <c r="L84" s="83" t="n">
        <v>6</v>
      </c>
      <c r="M84" s="84">
        <f>IF(COUNT(C84:L84)=0,"",SUM(C84:L84))</f>
        <v/>
      </c>
      <c r="N84" s="85">
        <f>IF(M84="","",IF(M84&lt;50,"يحتاج دعماً",IF(M84&lt;75,"جيد","ممتاز")))</f>
        <v/>
      </c>
    </row>
    <row r="85" ht="18" customHeight="1">
      <c r="A85" s="79" t="n">
        <v>81</v>
      </c>
      <c r="B85" s="31">
        <f>'قاعدة الأسماء'!B85</f>
        <v/>
      </c>
      <c r="C85" s="32" t="n">
        <v>6</v>
      </c>
      <c r="D85" s="32" t="n">
        <v>5</v>
      </c>
      <c r="E85" s="32" t="n">
        <v>4</v>
      </c>
      <c r="F85" s="32" t="n">
        <v>6</v>
      </c>
      <c r="G85" s="32" t="n">
        <v>6</v>
      </c>
      <c r="H85" s="32" t="n">
        <v>3</v>
      </c>
      <c r="I85" s="32" t="n">
        <v>7</v>
      </c>
      <c r="J85" s="32" t="n">
        <v>6</v>
      </c>
      <c r="K85" s="32" t="n">
        <v>6</v>
      </c>
      <c r="L85" s="32" t="n">
        <v>6</v>
      </c>
      <c r="M85" s="80">
        <f>IF(COUNT(C85:L85)=0,"",SUM(C85:L85))</f>
        <v/>
      </c>
      <c r="N85" s="45">
        <f>IF(M85="","",IF(M85&lt;50,"يحتاج دعماً",IF(M85&lt;75,"جيد","ممتاز")))</f>
        <v/>
      </c>
    </row>
    <row r="86" ht="18" customHeight="1">
      <c r="A86" s="81" t="n">
        <v>82</v>
      </c>
      <c r="B86" s="82">
        <f>'قاعدة الأسماء'!B86</f>
        <v/>
      </c>
      <c r="C86" s="83" t="n">
        <v>6</v>
      </c>
      <c r="D86" s="83" t="n">
        <v>5</v>
      </c>
      <c r="E86" s="83" t="n">
        <v>4</v>
      </c>
      <c r="F86" s="83" t="n">
        <v>3</v>
      </c>
      <c r="G86" s="83" t="n">
        <v>6</v>
      </c>
      <c r="H86" s="83" t="n">
        <v>6</v>
      </c>
      <c r="I86" s="83" t="n">
        <v>5</v>
      </c>
      <c r="J86" s="83" t="n">
        <v>4</v>
      </c>
      <c r="K86" s="83" t="n">
        <v>5</v>
      </c>
      <c r="L86" s="83" t="n">
        <v>5</v>
      </c>
      <c r="M86" s="84">
        <f>IF(COUNT(C86:L86)=0,"",SUM(C86:L86))</f>
        <v/>
      </c>
      <c r="N86" s="85">
        <f>IF(M86="","",IF(M86&lt;50,"يحتاج دعماً",IF(M86&lt;75,"جيد","ممتاز")))</f>
        <v/>
      </c>
    </row>
    <row r="87" ht="18" customHeight="1">
      <c r="A87" s="79" t="n">
        <v>83</v>
      </c>
      <c r="B87" s="31">
        <f>'قاعدة الأسماء'!B87</f>
        <v/>
      </c>
      <c r="C87" s="32" t="n">
        <v>6</v>
      </c>
      <c r="D87" s="32" t="n">
        <v>7</v>
      </c>
      <c r="E87" s="32" t="n">
        <v>4</v>
      </c>
      <c r="F87" s="32" t="n">
        <v>6</v>
      </c>
      <c r="G87" s="32" t="n">
        <v>6</v>
      </c>
      <c r="H87" s="32" t="n">
        <v>7</v>
      </c>
      <c r="I87" s="32" t="n">
        <v>6</v>
      </c>
      <c r="J87" s="32" t="n">
        <v>4</v>
      </c>
      <c r="K87" s="32" t="n">
        <v>6</v>
      </c>
      <c r="L87" s="32" t="n">
        <v>6</v>
      </c>
      <c r="M87" s="80">
        <f>IF(COUNT(C87:L87)=0,"",SUM(C87:L87))</f>
        <v/>
      </c>
      <c r="N87" s="45">
        <f>IF(M87="","",IF(M87&lt;50,"يحتاج دعماً",IF(M87&lt;75,"جيد","ممتاز")))</f>
        <v/>
      </c>
    </row>
    <row r="88" ht="18" customHeight="1">
      <c r="A88" s="81" t="n">
        <v>84</v>
      </c>
      <c r="B88" s="82">
        <f>'قاعدة الأسماء'!B88</f>
        <v/>
      </c>
      <c r="C88" s="83" t="n">
        <v>6</v>
      </c>
      <c r="D88" s="83" t="n">
        <v>5</v>
      </c>
      <c r="E88" s="83" t="n">
        <v>3</v>
      </c>
      <c r="F88" s="83" t="n">
        <v>5</v>
      </c>
      <c r="G88" s="83" t="n">
        <v>5</v>
      </c>
      <c r="H88" s="83" t="n">
        <v>6</v>
      </c>
      <c r="I88" s="83" t="n">
        <v>5</v>
      </c>
      <c r="J88" s="83" t="n">
        <v>6</v>
      </c>
      <c r="K88" s="83" t="n">
        <v>5</v>
      </c>
      <c r="L88" s="83" t="n">
        <v>5</v>
      </c>
      <c r="M88" s="84">
        <f>IF(COUNT(C88:L88)=0,"",SUM(C88:L88))</f>
        <v/>
      </c>
      <c r="N88" s="85">
        <f>IF(M88="","",IF(M88&lt;50,"يحتاج دعماً",IF(M88&lt;75,"جيد","ممتاز")))</f>
        <v/>
      </c>
    </row>
    <row r="89" ht="18" customHeight="1">
      <c r="A89" s="79" t="n">
        <v>85</v>
      </c>
      <c r="B89" s="31">
        <f>'قاعدة الأسماء'!B89</f>
        <v/>
      </c>
      <c r="C89" s="32" t="n">
        <v>6</v>
      </c>
      <c r="D89" s="32" t="n">
        <v>6</v>
      </c>
      <c r="E89" s="32" t="n">
        <v>4</v>
      </c>
      <c r="F89" s="32" t="n">
        <v>5</v>
      </c>
      <c r="G89" s="32" t="n">
        <v>7</v>
      </c>
      <c r="H89" s="32" t="n">
        <v>4</v>
      </c>
      <c r="I89" s="32" t="n">
        <v>6</v>
      </c>
      <c r="J89" s="32" t="n">
        <v>5</v>
      </c>
      <c r="K89" s="32" t="n">
        <v>5</v>
      </c>
      <c r="L89" s="32" t="n">
        <v>6</v>
      </c>
      <c r="M89" s="80">
        <f>IF(COUNT(C89:L89)=0,"",SUM(C89:L89))</f>
        <v/>
      </c>
      <c r="N89" s="45">
        <f>IF(M89="","",IF(M89&lt;50,"يحتاج دعماً",IF(M89&lt;75,"جيد","ممتاز")))</f>
        <v/>
      </c>
    </row>
    <row r="90" ht="18" customHeight="1">
      <c r="A90" s="81" t="n">
        <v>86</v>
      </c>
      <c r="B90" s="82">
        <f>'قاعدة الأسماء'!B90</f>
        <v/>
      </c>
      <c r="C90" s="83" t="n">
        <v>6</v>
      </c>
      <c r="D90" s="83" t="n">
        <v>5</v>
      </c>
      <c r="E90" s="83" t="n">
        <v>4</v>
      </c>
      <c r="F90" s="83" t="n">
        <v>6</v>
      </c>
      <c r="G90" s="83" t="n">
        <v>5</v>
      </c>
      <c r="H90" s="83" t="n">
        <v>6</v>
      </c>
      <c r="I90" s="83" t="n">
        <v>6</v>
      </c>
      <c r="J90" s="83" t="n">
        <v>5</v>
      </c>
      <c r="K90" s="83" t="n">
        <v>4</v>
      </c>
      <c r="L90" s="83" t="n">
        <v>5</v>
      </c>
      <c r="M90" s="84">
        <f>IF(COUNT(C90:L90)=0,"",SUM(C90:L90))</f>
        <v/>
      </c>
      <c r="N90" s="85">
        <f>IF(M90="","",IF(M90&lt;50,"يحتاج دعماً",IF(M90&lt;75,"جيد","ممتاز")))</f>
        <v/>
      </c>
    </row>
    <row r="91" ht="18" customHeight="1">
      <c r="A91" s="79" t="n">
        <v>87</v>
      </c>
      <c r="B91" s="31">
        <f>'قاعدة الأسماء'!B91</f>
        <v/>
      </c>
      <c r="C91" s="32" t="n">
        <v>6</v>
      </c>
      <c r="D91" s="32" t="n">
        <v>7</v>
      </c>
      <c r="E91" s="32" t="n">
        <v>4</v>
      </c>
      <c r="F91" s="32" t="n">
        <v>5</v>
      </c>
      <c r="G91" s="32" t="n">
        <v>5</v>
      </c>
      <c r="H91" s="32" t="n">
        <v>3</v>
      </c>
      <c r="I91" s="32" t="n">
        <v>4</v>
      </c>
      <c r="J91" s="32" t="n">
        <v>5</v>
      </c>
      <c r="K91" s="32" t="n">
        <v>6</v>
      </c>
      <c r="L91" s="32" t="n">
        <v>6</v>
      </c>
      <c r="M91" s="80">
        <f>IF(COUNT(C91:L91)=0,"",SUM(C91:L91))</f>
        <v/>
      </c>
      <c r="N91" s="45">
        <f>IF(M91="","",IF(M91&lt;50,"يحتاج دعماً",IF(M91&lt;75,"جيد","ممتاز")))</f>
        <v/>
      </c>
    </row>
    <row r="92" ht="18" customHeight="1">
      <c r="A92" s="81" t="n">
        <v>88</v>
      </c>
      <c r="B92" s="82">
        <f>'قاعدة الأسماء'!B92</f>
        <v/>
      </c>
      <c r="C92" s="83" t="n">
        <v>6</v>
      </c>
      <c r="D92" s="83" t="n">
        <v>4</v>
      </c>
      <c r="E92" s="83" t="n">
        <v>4</v>
      </c>
      <c r="F92" s="83" t="n">
        <v>4</v>
      </c>
      <c r="G92" s="83" t="n">
        <v>6</v>
      </c>
      <c r="H92" s="83" t="n">
        <v>5</v>
      </c>
      <c r="I92" s="83" t="n">
        <v>4</v>
      </c>
      <c r="J92" s="83" t="n">
        <v>4</v>
      </c>
      <c r="K92" s="83" t="n">
        <v>3</v>
      </c>
      <c r="L92" s="83" t="n">
        <v>5</v>
      </c>
      <c r="M92" s="84">
        <f>IF(COUNT(C92:L92)=0,"",SUM(C92:L92))</f>
        <v/>
      </c>
      <c r="N92" s="85">
        <f>IF(M92="","",IF(M92&lt;50,"يحتاج دعماً",IF(M92&lt;75,"جيد","ممتاز")))</f>
        <v/>
      </c>
    </row>
    <row r="93" ht="18" customHeight="1">
      <c r="A93" s="79" t="n">
        <v>89</v>
      </c>
      <c r="B93" s="31">
        <f>'قاعدة الأسماء'!B93</f>
        <v/>
      </c>
      <c r="C93" s="32" t="n">
        <v>5</v>
      </c>
      <c r="D93" s="32" t="n">
        <v>7</v>
      </c>
      <c r="E93" s="32" t="n">
        <v>3</v>
      </c>
      <c r="F93" s="32" t="n">
        <v>3</v>
      </c>
      <c r="G93" s="32" t="n">
        <v>6</v>
      </c>
      <c r="H93" s="32" t="n">
        <v>4</v>
      </c>
      <c r="I93" s="32" t="n">
        <v>7</v>
      </c>
      <c r="J93" s="32" t="n">
        <v>4</v>
      </c>
      <c r="K93" s="32" t="n">
        <v>5</v>
      </c>
      <c r="L93" s="32" t="n">
        <v>6</v>
      </c>
      <c r="M93" s="80">
        <f>IF(COUNT(C93:L93)=0,"",SUM(C93:L93))</f>
        <v/>
      </c>
      <c r="N93" s="45">
        <f>IF(M93="","",IF(M93&lt;50,"يحتاج دعماً",IF(M93&lt;75,"جيد","ممتاز")))</f>
        <v/>
      </c>
    </row>
    <row r="94" ht="18" customHeight="1">
      <c r="A94" s="81" t="n">
        <v>90</v>
      </c>
      <c r="B94" s="82">
        <f>'قاعدة الأسماء'!B94</f>
        <v/>
      </c>
      <c r="C94" s="83" t="n">
        <v>5</v>
      </c>
      <c r="D94" s="83" t="n">
        <v>6</v>
      </c>
      <c r="E94" s="83" t="n">
        <v>5</v>
      </c>
      <c r="F94" s="83" t="n">
        <v>4</v>
      </c>
      <c r="G94" s="83" t="n">
        <v>6</v>
      </c>
      <c r="H94" s="83" t="n">
        <v>5</v>
      </c>
      <c r="I94" s="83" t="n">
        <v>7</v>
      </c>
      <c r="J94" s="83" t="n">
        <v>4</v>
      </c>
      <c r="K94" s="83" t="n">
        <v>4</v>
      </c>
      <c r="L94" s="83" t="n">
        <v>5</v>
      </c>
      <c r="M94" s="84">
        <f>IF(COUNT(C94:L94)=0,"",SUM(C94:L94))</f>
        <v/>
      </c>
      <c r="N94" s="85">
        <f>IF(M94="","",IF(M94&lt;50,"يحتاج دعماً",IF(M94&lt;75,"جيد","ممتاز")))</f>
        <v/>
      </c>
    </row>
    <row r="95" ht="18" customHeight="1">
      <c r="A95" s="79" t="n">
        <v>91</v>
      </c>
      <c r="B95" s="31">
        <f>'قاعدة الأسماء'!B95</f>
        <v/>
      </c>
      <c r="C95" s="32" t="n">
        <v>6</v>
      </c>
      <c r="D95" s="32" t="n">
        <v>6</v>
      </c>
      <c r="E95" s="32" t="n">
        <v>4</v>
      </c>
      <c r="F95" s="32" t="n">
        <v>5</v>
      </c>
      <c r="G95" s="32" t="n">
        <v>7</v>
      </c>
      <c r="H95" s="32" t="n">
        <v>6</v>
      </c>
      <c r="I95" s="32" t="n">
        <v>8</v>
      </c>
      <c r="J95" s="32" t="n">
        <v>5</v>
      </c>
      <c r="K95" s="32" t="n">
        <v>4</v>
      </c>
      <c r="L95" s="32" t="n">
        <v>6</v>
      </c>
      <c r="M95" s="80">
        <f>IF(COUNT(C95:L95)=0,"",SUM(C95:L95))</f>
        <v/>
      </c>
      <c r="N95" s="45">
        <f>IF(M95="","",IF(M95&lt;50,"يحتاج دعماً",IF(M95&lt;75,"جيد","ممتاز")))</f>
        <v/>
      </c>
    </row>
    <row r="96" ht="18" customHeight="1">
      <c r="A96" s="81" t="n">
        <v>92</v>
      </c>
      <c r="B96" s="82">
        <f>'قاعدة الأسماء'!B96</f>
        <v/>
      </c>
      <c r="C96" s="83" t="n">
        <v>5</v>
      </c>
      <c r="D96" s="83" t="n">
        <v>7</v>
      </c>
      <c r="E96" s="83" t="n">
        <v>4</v>
      </c>
      <c r="F96" s="83" t="n">
        <v>4</v>
      </c>
      <c r="G96" s="83" t="n">
        <v>5</v>
      </c>
      <c r="H96" s="83" t="n">
        <v>6</v>
      </c>
      <c r="I96" s="83" t="n">
        <v>6</v>
      </c>
      <c r="J96" s="83" t="n">
        <v>4</v>
      </c>
      <c r="K96" s="83" t="n">
        <v>5</v>
      </c>
      <c r="L96" s="83" t="n">
        <v>5</v>
      </c>
      <c r="M96" s="84">
        <f>IF(COUNT(C96:L96)=0,"",SUM(C96:L96))</f>
        <v/>
      </c>
      <c r="N96" s="85">
        <f>IF(M96="","",IF(M96&lt;50,"يحتاج دعماً",IF(M96&lt;75,"جيد","ممتاز")))</f>
        <v/>
      </c>
    </row>
    <row r="97" ht="18" customHeight="1">
      <c r="A97" s="79" t="n">
        <v>93</v>
      </c>
      <c r="B97" s="31">
        <f>'قاعدة الأسماء'!B97</f>
        <v/>
      </c>
      <c r="C97" s="32" t="n">
        <v>6</v>
      </c>
      <c r="D97" s="32" t="n">
        <v>6</v>
      </c>
      <c r="E97" s="32" t="n">
        <v>5</v>
      </c>
      <c r="F97" s="32" t="n">
        <v>6</v>
      </c>
      <c r="G97" s="32" t="n">
        <v>6</v>
      </c>
      <c r="H97" s="32" t="n">
        <v>5</v>
      </c>
      <c r="I97" s="32" t="n">
        <v>5</v>
      </c>
      <c r="J97" s="32" t="n">
        <v>6</v>
      </c>
      <c r="K97" s="32" t="n">
        <v>7</v>
      </c>
      <c r="L97" s="32" t="n">
        <v>7</v>
      </c>
      <c r="M97" s="80">
        <f>IF(COUNT(C97:L97)=0,"",SUM(C97:L97))</f>
        <v/>
      </c>
      <c r="N97" s="45">
        <f>IF(M97="","",IF(M97&lt;50,"يحتاج دعماً",IF(M97&lt;75,"جيد","ممتاز")))</f>
        <v/>
      </c>
    </row>
    <row r="98" ht="18" customHeight="1">
      <c r="A98" s="81" t="n">
        <v>94</v>
      </c>
      <c r="B98" s="82">
        <f>'قاعدة الأسماء'!B98</f>
        <v/>
      </c>
      <c r="C98" s="83" t="n">
        <v>4</v>
      </c>
      <c r="D98" s="83" t="n">
        <v>6</v>
      </c>
      <c r="E98" s="83" t="n">
        <v>3</v>
      </c>
      <c r="F98" s="83" t="n">
        <v>4</v>
      </c>
      <c r="G98" s="83" t="n">
        <v>4</v>
      </c>
      <c r="H98" s="83" t="n">
        <v>5</v>
      </c>
      <c r="I98" s="83" t="n">
        <v>5</v>
      </c>
      <c r="J98" s="83" t="n">
        <v>5</v>
      </c>
      <c r="K98" s="83" t="n">
        <v>5</v>
      </c>
      <c r="L98" s="83" t="n">
        <v>5</v>
      </c>
      <c r="M98" s="84">
        <f>IF(COUNT(C98:L98)=0,"",SUM(C98:L98))</f>
        <v/>
      </c>
      <c r="N98" s="85">
        <f>IF(M98="","",IF(M98&lt;50,"يحتاج دعماً",IF(M98&lt;75,"جيد","ممتاز")))</f>
        <v/>
      </c>
    </row>
    <row r="99" ht="18" customHeight="1">
      <c r="A99" s="79" t="n">
        <v>95</v>
      </c>
      <c r="B99" s="31">
        <f>'قاعدة الأسماء'!B99</f>
        <v/>
      </c>
      <c r="C99" s="32" t="n">
        <v>6</v>
      </c>
      <c r="D99" s="32" t="n">
        <v>6</v>
      </c>
      <c r="E99" s="32" t="n">
        <v>5</v>
      </c>
      <c r="F99" s="32" t="n">
        <v>5</v>
      </c>
      <c r="G99" s="32" t="n">
        <v>6</v>
      </c>
      <c r="H99" s="32" t="n">
        <v>6</v>
      </c>
      <c r="I99" s="32" t="n">
        <v>6</v>
      </c>
      <c r="J99" s="32" t="n">
        <v>6</v>
      </c>
      <c r="K99" s="32" t="n">
        <v>5</v>
      </c>
      <c r="L99" s="32" t="n">
        <v>6</v>
      </c>
      <c r="M99" s="80">
        <f>IF(COUNT(C99:L99)=0,"",SUM(C99:L99))</f>
        <v/>
      </c>
      <c r="N99" s="45">
        <f>IF(M99="","",IF(M99&lt;50,"يحتاج دعماً",IF(M99&lt;75,"جيد","ممتاز")))</f>
        <v/>
      </c>
    </row>
    <row r="100" ht="18" customHeight="1">
      <c r="A100" s="81" t="n">
        <v>96</v>
      </c>
      <c r="B100" s="82">
        <f>'قاعدة الأسماء'!B100</f>
        <v/>
      </c>
      <c r="C100" s="83" t="n">
        <v>5</v>
      </c>
      <c r="D100" s="83" t="n">
        <v>6</v>
      </c>
      <c r="E100" s="83" t="n">
        <v>4</v>
      </c>
      <c r="F100" s="83" t="n">
        <v>5</v>
      </c>
      <c r="G100" s="83" t="n">
        <v>5</v>
      </c>
      <c r="H100" s="83" t="n">
        <v>5</v>
      </c>
      <c r="I100" s="83" t="n">
        <v>5</v>
      </c>
      <c r="J100" s="83" t="n">
        <v>5</v>
      </c>
      <c r="K100" s="83" t="n">
        <v>4</v>
      </c>
      <c r="L100" s="83" t="n">
        <v>4</v>
      </c>
      <c r="M100" s="84">
        <f>IF(COUNT(C100:L100)=0,"",SUM(C100:L100))</f>
        <v/>
      </c>
      <c r="N100" s="85">
        <f>IF(M100="","",IF(M100&lt;50,"يحتاج دعماً",IF(M100&lt;75,"جيد","ممتاز")))</f>
        <v/>
      </c>
    </row>
    <row r="101" ht="18" customHeight="1">
      <c r="A101" s="79" t="n">
        <v>97</v>
      </c>
      <c r="B101" s="31">
        <f>'قاعدة الأسماء'!B101</f>
        <v/>
      </c>
      <c r="C101" s="32" t="n">
        <v>5</v>
      </c>
      <c r="D101" s="32" t="n">
        <v>5</v>
      </c>
      <c r="E101" s="32" t="n">
        <v>2</v>
      </c>
      <c r="F101" s="32" t="n">
        <v>3</v>
      </c>
      <c r="G101" s="32" t="n">
        <v>3</v>
      </c>
      <c r="H101" s="32" t="n">
        <v>4</v>
      </c>
      <c r="I101" s="32" t="n">
        <v>5</v>
      </c>
      <c r="J101" s="32" t="n">
        <v>4</v>
      </c>
      <c r="K101" s="32" t="n">
        <v>4</v>
      </c>
      <c r="L101" s="32" t="n">
        <v>5</v>
      </c>
      <c r="M101" s="80">
        <f>IF(COUNT(C101:L101)=0,"",SUM(C101:L101))</f>
        <v/>
      </c>
      <c r="N101" s="45">
        <f>IF(M101="","",IF(M101&lt;50,"يحتاج دعماً",IF(M101&lt;75,"جيد","ممتاز")))</f>
        <v/>
      </c>
    </row>
    <row r="102" ht="18" customHeight="1">
      <c r="A102" s="81" t="n">
        <v>98</v>
      </c>
      <c r="B102" s="82">
        <f>'قاعدة الأسماء'!B102</f>
        <v/>
      </c>
      <c r="C102" s="83" t="n">
        <v>5</v>
      </c>
      <c r="D102" s="83" t="n">
        <v>4</v>
      </c>
      <c r="E102" s="83" t="n">
        <v>3</v>
      </c>
      <c r="F102" s="83" t="n">
        <v>4</v>
      </c>
      <c r="G102" s="83" t="n">
        <v>5</v>
      </c>
      <c r="H102" s="83" t="n">
        <v>4</v>
      </c>
      <c r="I102" s="83" t="n">
        <v>4</v>
      </c>
      <c r="J102" s="83" t="n">
        <v>2</v>
      </c>
      <c r="K102" s="83" t="n">
        <v>3</v>
      </c>
      <c r="L102" s="83" t="n">
        <v>3</v>
      </c>
      <c r="M102" s="84">
        <f>IF(COUNT(C102:L102)=0,"",SUM(C102:L102))</f>
        <v/>
      </c>
      <c r="N102" s="85">
        <f>IF(M102="","",IF(M102&lt;50,"يحتاج دعماً",IF(M102&lt;75,"جيد","ممتاز")))</f>
        <v/>
      </c>
    </row>
    <row r="103" ht="18" customHeight="1">
      <c r="A103" s="79" t="n">
        <v>99</v>
      </c>
      <c r="B103" s="31">
        <f>'قاعدة الأسماء'!B103</f>
        <v/>
      </c>
      <c r="C103" s="32" t="n">
        <v>6</v>
      </c>
      <c r="D103" s="32" t="n">
        <v>4</v>
      </c>
      <c r="E103" s="32" t="n">
        <v>2</v>
      </c>
      <c r="F103" s="32" t="n">
        <v>4</v>
      </c>
      <c r="G103" s="32" t="n">
        <v>4</v>
      </c>
      <c r="H103" s="32" t="n">
        <v>4</v>
      </c>
      <c r="I103" s="32" t="n">
        <v>5</v>
      </c>
      <c r="J103" s="32" t="n">
        <v>4</v>
      </c>
      <c r="K103" s="32" t="n">
        <v>4</v>
      </c>
      <c r="L103" s="32" t="n">
        <v>3</v>
      </c>
      <c r="M103" s="80">
        <f>IF(COUNT(C103:L103)=0,"",SUM(C103:L103))</f>
        <v/>
      </c>
      <c r="N103" s="45">
        <f>IF(M103="","",IF(M103&lt;50,"يحتاج دعماً",IF(M103&lt;75,"جيد","ممتاز")))</f>
        <v/>
      </c>
    </row>
    <row r="106" ht="30" customHeight="1">
      <c r="A106" s="86" t="inlineStr">
        <is>
          <t>الخطة التدريبية الأسبوعية</t>
        </is>
      </c>
    </row>
    <row r="107">
      <c r="A107" s="87" t="inlineStr">
        <is>
          <t>الأسبوع</t>
        </is>
      </c>
      <c r="B107" s="87" t="inlineStr">
        <is>
          <t>المهارة</t>
        </is>
      </c>
      <c r="C107" s="87" t="inlineStr">
        <is>
          <t>نوع النشاط</t>
        </is>
      </c>
      <c r="D107" s="87" t="inlineStr">
        <is>
          <t>الأدوات</t>
        </is>
      </c>
      <c r="E107" s="87" t="inlineStr">
        <is>
          <t>التوقيت</t>
        </is>
      </c>
      <c r="F107" s="87" t="inlineStr">
        <is>
          <t>المسؤول</t>
        </is>
      </c>
      <c r="G107" s="87" t="inlineStr">
        <is>
          <t>ملاحظات</t>
        </is>
      </c>
    </row>
    <row r="108" ht="25" customHeight="1">
      <c r="A108" s="30" t="inlineStr">
        <is>
          <t>الأسبوع 1</t>
        </is>
      </c>
      <c r="B108" s="88">
        <f>'الواجهة الرئيسية'!B8</f>
        <v/>
      </c>
      <c r="C108" s="32" t="inlineStr">
        <is>
          <t>ورشة عمل تفاعلية</t>
        </is>
      </c>
      <c r="D108" s="32" t="inlineStr">
        <is>
          <t>أوراق عمل</t>
        </is>
      </c>
      <c r="E108" s="32" t="inlineStr">
        <is>
          <t>45 دقيقة</t>
        </is>
      </c>
      <c r="F108" s="32" t="inlineStr"/>
      <c r="G108" s="32" t="inlineStr"/>
    </row>
    <row r="109" ht="25" customHeight="1">
      <c r="A109" s="34" t="inlineStr">
        <is>
          <t>الأسبوع 2</t>
        </is>
      </c>
      <c r="B109" s="89">
        <f>'الواجهة الرئيسية'!D8</f>
        <v/>
      </c>
      <c r="C109" s="36" t="inlineStr">
        <is>
          <t>ورشة عمل تفاعلية</t>
        </is>
      </c>
      <c r="D109" s="36" t="inlineStr">
        <is>
          <t>أوراق عمل</t>
        </is>
      </c>
      <c r="E109" s="36" t="inlineStr">
        <is>
          <t>45 دقيقة</t>
        </is>
      </c>
      <c r="F109" s="36" t="inlineStr"/>
      <c r="G109" s="36" t="inlineStr"/>
    </row>
    <row r="110" ht="25" customHeight="1">
      <c r="A110" s="30" t="inlineStr">
        <is>
          <t>الأسبوع 3</t>
        </is>
      </c>
      <c r="B110" s="88">
        <f>'الواجهة الرئيسية'!F8</f>
        <v/>
      </c>
      <c r="C110" s="32" t="inlineStr">
        <is>
          <t>ورشة عمل تفاعلية</t>
        </is>
      </c>
      <c r="D110" s="32" t="inlineStr">
        <is>
          <t>أوراق عمل</t>
        </is>
      </c>
      <c r="E110" s="32" t="inlineStr">
        <is>
          <t>45 دقيقة</t>
        </is>
      </c>
      <c r="F110" s="32" t="inlineStr"/>
      <c r="G110" s="32" t="inlineStr"/>
    </row>
    <row r="111" ht="25" customHeight="1">
      <c r="A111" s="34" t="inlineStr">
        <is>
          <t>الأسبوع 4</t>
        </is>
      </c>
      <c r="B111" s="89">
        <f>'الواجهة الرئيسية'!H8</f>
        <v/>
      </c>
      <c r="C111" s="36" t="inlineStr">
        <is>
          <t>ورشة عمل تفاعلية</t>
        </is>
      </c>
      <c r="D111" s="36" t="inlineStr">
        <is>
          <t>أوراق عمل</t>
        </is>
      </c>
      <c r="E111" s="36" t="inlineStr">
        <is>
          <t>45 دقيقة</t>
        </is>
      </c>
      <c r="F111" s="36" t="inlineStr"/>
      <c r="G111" s="36" t="inlineStr"/>
    </row>
    <row r="112" ht="25" customHeight="1">
      <c r="A112" s="30" t="inlineStr">
        <is>
          <t>الأسبوع 5</t>
        </is>
      </c>
      <c r="B112" s="88">
        <f>'الواجهة الرئيسية'!J8</f>
        <v/>
      </c>
      <c r="C112" s="32" t="inlineStr">
        <is>
          <t>ورشة عمل تفاعلية</t>
        </is>
      </c>
      <c r="D112" s="32" t="inlineStr">
        <is>
          <t>أوراق عمل</t>
        </is>
      </c>
      <c r="E112" s="32" t="inlineStr">
        <is>
          <t>45 دقيقة</t>
        </is>
      </c>
      <c r="F112" s="32" t="inlineStr"/>
      <c r="G112" s="32" t="inlineStr"/>
    </row>
    <row r="113" ht="25" customHeight="1">
      <c r="A113" s="34" t="inlineStr">
        <is>
          <t>الأسبوع 6</t>
        </is>
      </c>
      <c r="B113" s="89">
        <f>'الواجهة الرئيسية'!B20</f>
        <v/>
      </c>
      <c r="C113" s="36" t="inlineStr">
        <is>
          <t>ورشة عمل تفاعلية</t>
        </is>
      </c>
      <c r="D113" s="36" t="inlineStr">
        <is>
          <t>أوراق عمل</t>
        </is>
      </c>
      <c r="E113" s="36" t="inlineStr">
        <is>
          <t>45 دقيقة</t>
        </is>
      </c>
      <c r="F113" s="36" t="inlineStr"/>
      <c r="G113" s="36" t="inlineStr"/>
    </row>
    <row r="114" ht="25" customHeight="1">
      <c r="A114" s="30" t="inlineStr">
        <is>
          <t>الأسبوع 7</t>
        </is>
      </c>
      <c r="B114" s="88">
        <f>'الواجهة الرئيسية'!D20</f>
        <v/>
      </c>
      <c r="C114" s="32" t="inlineStr">
        <is>
          <t>ورشة عمل تفاعلية</t>
        </is>
      </c>
      <c r="D114" s="32" t="inlineStr">
        <is>
          <t>أوراق عمل</t>
        </is>
      </c>
      <c r="E114" s="32" t="inlineStr">
        <is>
          <t>45 دقيقة</t>
        </is>
      </c>
      <c r="F114" s="32" t="inlineStr"/>
      <c r="G114" s="32" t="inlineStr"/>
    </row>
    <row r="115" ht="25" customHeight="1">
      <c r="A115" s="34" t="inlineStr">
        <is>
          <t>الأسبوع 8</t>
        </is>
      </c>
      <c r="B115" s="89">
        <f>'الواجهة الرئيسية'!F20</f>
        <v/>
      </c>
      <c r="C115" s="36" t="inlineStr">
        <is>
          <t>ورشة عمل تفاعلية</t>
        </is>
      </c>
      <c r="D115" s="36" t="inlineStr">
        <is>
          <t>أوراق عمل</t>
        </is>
      </c>
      <c r="E115" s="36" t="inlineStr">
        <is>
          <t>45 دقيقة</t>
        </is>
      </c>
      <c r="F115" s="36" t="inlineStr"/>
      <c r="G115" s="36" t="inlineStr"/>
    </row>
    <row r="116" ht="25" customHeight="1">
      <c r="A116" s="30" t="inlineStr">
        <is>
          <t>الأسبوع 9</t>
        </is>
      </c>
      <c r="B116" s="88">
        <f>'الواجهة الرئيسية'!H20</f>
        <v/>
      </c>
      <c r="C116" s="32" t="inlineStr">
        <is>
          <t>ورشة عمل تفاعلية</t>
        </is>
      </c>
      <c r="D116" s="32" t="inlineStr">
        <is>
          <t>أوراق عمل</t>
        </is>
      </c>
      <c r="E116" s="32" t="inlineStr">
        <is>
          <t>45 دقيقة</t>
        </is>
      </c>
      <c r="F116" s="32" t="inlineStr"/>
      <c r="G116" s="32" t="inlineStr"/>
    </row>
    <row r="117" ht="25" customHeight="1">
      <c r="A117" s="34" t="inlineStr">
        <is>
          <t>الأسبوع 10</t>
        </is>
      </c>
      <c r="B117" s="89">
        <f>'الواجهة الرئيسية'!J20</f>
        <v/>
      </c>
      <c r="C117" s="36" t="inlineStr">
        <is>
          <t>ورشة عمل تفاعلية</t>
        </is>
      </c>
      <c r="D117" s="36" t="inlineStr">
        <is>
          <t>أوراق عمل</t>
        </is>
      </c>
      <c r="E117" s="36" t="inlineStr">
        <is>
          <t>45 دقيقة</t>
        </is>
      </c>
      <c r="F117" s="36" t="inlineStr"/>
      <c r="G117" s="36" t="inlineStr"/>
    </row>
  </sheetData>
  <mergeCells count="3">
    <mergeCell ref="A106:N106"/>
    <mergeCell ref="A3:N3"/>
    <mergeCell ref="A2:N2"/>
  </mergeCells>
  <conditionalFormatting sqref="C5:L103">
    <cfRule type="colorScale" priority="1">
      <colorScale>
        <cfvo type="num" val="0"/>
        <cfvo type="num" val="6"/>
        <cfvo type="num" val="10"/>
        <color rgb="00FF6B6B"/>
        <color rgb="00FFE66D"/>
        <color rgb="004ECDC4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D7377"/>
    <outlinePr summaryBelow="1" summaryRight="1"/>
    <pageSetUpPr/>
  </sheetPr>
  <dimension ref="A2:O133"/>
  <sheetViews>
    <sheetView rightToLeft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10" customHeight="1"/>
    <row r="2" ht="55" customHeight="1">
      <c r="A2" s="27" t="inlineStr">
        <is>
          <t>الاختبار التشخيصي البعدي – Post-Test</t>
        </is>
      </c>
    </row>
    <row r="3" ht="30" customHeight="1">
      <c r="A3" s="28" t="inlineStr">
        <is>
          <t>إدخال درجات بعد التدريب | التحليل المقارن تلقائي</t>
        </is>
      </c>
    </row>
    <row r="4" ht="46" customHeight="1">
      <c r="A4" s="38" t="inlineStr">
        <is>
          <t>م</t>
        </is>
      </c>
      <c r="B4" s="38" t="inlineStr">
        <is>
          <t>اسم الطالبة</t>
        </is>
      </c>
      <c r="C4" s="39">
        <f>"م1 " &amp; CHAR(10) &amp; 'الواجهة الرئيسية'!B8</f>
        <v/>
      </c>
      <c r="D4" s="39">
        <f>"م2 " &amp; CHAR(10) &amp; 'الواجهة الرئيسية'!D8</f>
        <v/>
      </c>
      <c r="E4" s="39">
        <f>"م3 " &amp; CHAR(10) &amp; 'الواجهة الرئيسية'!F8</f>
        <v/>
      </c>
      <c r="F4" s="39">
        <f>"م4 " &amp; CHAR(10) &amp; 'الواجهة الرئيسية'!H8</f>
        <v/>
      </c>
      <c r="G4" s="39">
        <f>"م5 " &amp; CHAR(10) &amp; 'الواجهة الرئيسية'!J8</f>
        <v/>
      </c>
      <c r="H4" s="39">
        <f>"م6 " &amp; CHAR(10) &amp; 'الواجهة الرئيسية'!B20</f>
        <v/>
      </c>
      <c r="I4" s="39">
        <f>"م7 " &amp; CHAR(10) &amp; 'الواجهة الرئيسية'!D20</f>
        <v/>
      </c>
      <c r="J4" s="39">
        <f>"م8 " &amp; CHAR(10) &amp; 'الواجهة الرئيسية'!F20</f>
        <v/>
      </c>
      <c r="K4" s="39">
        <f>"م9 " &amp; CHAR(10) &amp; 'الواجهة الرئيسية'!H20</f>
        <v/>
      </c>
      <c r="L4" s="39">
        <f>"م10 " &amp; CHAR(10) &amp; 'الواجهة الرئيسية'!J20</f>
        <v/>
      </c>
      <c r="M4" s="38" t="inlineStr">
        <is>
          <t>المجموع</t>
        </is>
      </c>
      <c r="N4" s="38" t="inlineStr">
        <is>
          <t>النسبة%</t>
        </is>
      </c>
      <c r="O4" s="38" t="inlineStr">
        <is>
          <t>المستوى</t>
        </is>
      </c>
    </row>
    <row r="5" ht="22" customHeight="1">
      <c r="A5" s="40" t="inlineStr"/>
      <c r="B5" s="41" t="inlineStr">
        <is>
          <t>الدرجة العظمى</t>
        </is>
      </c>
      <c r="C5" s="42" t="n">
        <v>10</v>
      </c>
      <c r="D5" s="42" t="n">
        <v>10</v>
      </c>
      <c r="E5" s="42" t="n">
        <v>10</v>
      </c>
      <c r="F5" s="42" t="n">
        <v>10</v>
      </c>
      <c r="G5" s="42" t="n">
        <v>10</v>
      </c>
      <c r="H5" s="42" t="n">
        <v>10</v>
      </c>
      <c r="I5" s="42" t="n">
        <v>10</v>
      </c>
      <c r="J5" s="42" t="n">
        <v>10</v>
      </c>
      <c r="K5" s="42" t="n">
        <v>10</v>
      </c>
      <c r="L5" s="42" t="n">
        <v>10</v>
      </c>
      <c r="M5" s="42" t="n">
        <v>100</v>
      </c>
      <c r="N5" s="42" t="inlineStr">
        <is>
          <t>100%</t>
        </is>
      </c>
      <c r="O5" s="40" t="inlineStr"/>
    </row>
    <row r="6" ht="18" customHeight="1">
      <c r="A6" s="30" t="n">
        <v>1</v>
      </c>
      <c r="B6" s="31">
        <f>'قاعدة الأسماء'!B5</f>
        <v/>
      </c>
      <c r="C6" s="32" t="n">
        <v>9</v>
      </c>
      <c r="D6" s="32" t="n">
        <v>10</v>
      </c>
      <c r="E6" s="32" t="n">
        <v>10</v>
      </c>
      <c r="F6" s="32" t="n">
        <v>8</v>
      </c>
      <c r="G6" s="32" t="n">
        <v>10</v>
      </c>
      <c r="H6" s="32" t="n">
        <v>9</v>
      </c>
      <c r="I6" s="32" t="n">
        <v>10</v>
      </c>
      <c r="J6" s="32" t="n">
        <v>9</v>
      </c>
      <c r="K6" s="32" t="n">
        <v>10</v>
      </c>
      <c r="L6" s="32" t="n">
        <v>9</v>
      </c>
      <c r="M6" s="43">
        <f>IF(COUNT(C6:L6)=0,"",SUM(C6:L6))</f>
        <v/>
      </c>
      <c r="N6" s="44">
        <f>IF(M6="","",M6/100)</f>
        <v/>
      </c>
      <c r="O6" s="45">
        <f>IF(M6="","",IF(M6&lt;50,"ضعيف",IF(M6&lt;75,"متوسط","ممتاز")))</f>
        <v/>
      </c>
    </row>
    <row r="7" ht="18" customHeight="1">
      <c r="A7" s="46" t="n">
        <v>2</v>
      </c>
      <c r="B7" s="47">
        <f>'قاعدة الأسماء'!B6</f>
        <v/>
      </c>
      <c r="C7" s="48" t="n">
        <v>10</v>
      </c>
      <c r="D7" s="48" t="n">
        <v>10</v>
      </c>
      <c r="E7" s="48" t="n">
        <v>9</v>
      </c>
      <c r="F7" s="48" t="n">
        <v>10</v>
      </c>
      <c r="G7" s="48" t="n">
        <v>10</v>
      </c>
      <c r="H7" s="48" t="n">
        <v>9</v>
      </c>
      <c r="I7" s="48" t="n">
        <v>9</v>
      </c>
      <c r="J7" s="48" t="n">
        <v>9</v>
      </c>
      <c r="K7" s="48" t="n">
        <v>8</v>
      </c>
      <c r="L7" s="48" t="n">
        <v>10</v>
      </c>
      <c r="M7" s="49">
        <f>IF(COUNT(C7:L7)=0,"",SUM(C7:L7))</f>
        <v/>
      </c>
      <c r="N7" s="50">
        <f>IF(M7="","",M7/100)</f>
        <v/>
      </c>
      <c r="O7" s="51">
        <f>IF(M7="","",IF(M7&lt;50,"ضعيف",IF(M7&lt;75,"متوسط","ممتاز")))</f>
        <v/>
      </c>
    </row>
    <row r="8" ht="18" customHeight="1">
      <c r="A8" s="30" t="n">
        <v>3</v>
      </c>
      <c r="B8" s="31">
        <f>'قاعدة الأسماء'!B7</f>
        <v/>
      </c>
      <c r="C8" s="32" t="n">
        <v>10</v>
      </c>
      <c r="D8" s="32" t="n">
        <v>10</v>
      </c>
      <c r="E8" s="32" t="n">
        <v>10</v>
      </c>
      <c r="F8" s="32" t="n">
        <v>9</v>
      </c>
      <c r="G8" s="32" t="n">
        <v>10</v>
      </c>
      <c r="H8" s="32" t="n">
        <v>9</v>
      </c>
      <c r="I8" s="32" t="n">
        <v>10</v>
      </c>
      <c r="J8" s="32" t="n">
        <v>9</v>
      </c>
      <c r="K8" s="32" t="n">
        <v>10</v>
      </c>
      <c r="L8" s="32" t="n">
        <v>10</v>
      </c>
      <c r="M8" s="43">
        <f>IF(COUNT(C8:L8)=0,"",SUM(C8:L8))</f>
        <v/>
      </c>
      <c r="N8" s="44">
        <f>IF(M8="","",M8/100)</f>
        <v/>
      </c>
      <c r="O8" s="45">
        <f>IF(M8="","",IF(M8&lt;50,"ضعيف",IF(M8&lt;75,"متوسط","ممتاز")))</f>
        <v/>
      </c>
    </row>
    <row r="9" ht="18" customHeight="1">
      <c r="A9" s="46" t="n">
        <v>4</v>
      </c>
      <c r="B9" s="47">
        <f>'قاعدة الأسماء'!B8</f>
        <v/>
      </c>
      <c r="C9" s="48" t="n">
        <v>10</v>
      </c>
      <c r="D9" s="48" t="n">
        <v>10</v>
      </c>
      <c r="E9" s="48" t="n">
        <v>9</v>
      </c>
      <c r="F9" s="48" t="n">
        <v>9</v>
      </c>
      <c r="G9" s="48" t="n">
        <v>10</v>
      </c>
      <c r="H9" s="48" t="n">
        <v>10</v>
      </c>
      <c r="I9" s="48" t="n">
        <v>10</v>
      </c>
      <c r="J9" s="48" t="n">
        <v>9</v>
      </c>
      <c r="K9" s="48" t="n">
        <v>10</v>
      </c>
      <c r="L9" s="48" t="n">
        <v>9</v>
      </c>
      <c r="M9" s="49">
        <f>IF(COUNT(C9:L9)=0,"",SUM(C9:L9))</f>
        <v/>
      </c>
      <c r="N9" s="50">
        <f>IF(M9="","",M9/100)</f>
        <v/>
      </c>
      <c r="O9" s="51">
        <f>IF(M9="","",IF(M9&lt;50,"ضعيف",IF(M9&lt;75,"متوسط","ممتاز")))</f>
        <v/>
      </c>
    </row>
    <row r="10" ht="18" customHeight="1">
      <c r="A10" s="30" t="n">
        <v>5</v>
      </c>
      <c r="B10" s="31">
        <f>'قاعدة الأسماء'!B9</f>
        <v/>
      </c>
      <c r="C10" s="32" t="n">
        <v>10</v>
      </c>
      <c r="D10" s="32" t="n">
        <v>10</v>
      </c>
      <c r="E10" s="32" t="n">
        <v>10</v>
      </c>
      <c r="F10" s="32" t="n">
        <v>9</v>
      </c>
      <c r="G10" s="32" t="n">
        <v>10</v>
      </c>
      <c r="H10" s="32" t="n">
        <v>10</v>
      </c>
      <c r="I10" s="32" t="n">
        <v>9</v>
      </c>
      <c r="J10" s="32" t="n">
        <v>10</v>
      </c>
      <c r="K10" s="32" t="n">
        <v>9</v>
      </c>
      <c r="L10" s="32" t="n">
        <v>9</v>
      </c>
      <c r="M10" s="43">
        <f>IF(COUNT(C10:L10)=0,"",SUM(C10:L10))</f>
        <v/>
      </c>
      <c r="N10" s="44">
        <f>IF(M10="","",M10/100)</f>
        <v/>
      </c>
      <c r="O10" s="45">
        <f>IF(M10="","",IF(M10&lt;50,"ضعيف",IF(M10&lt;75,"متوسط","ممتاز")))</f>
        <v/>
      </c>
    </row>
    <row r="11" ht="18" customHeight="1">
      <c r="A11" s="46" t="n">
        <v>6</v>
      </c>
      <c r="B11" s="47">
        <f>'قاعدة الأسماء'!B10</f>
        <v/>
      </c>
      <c r="C11" s="48" t="n">
        <v>10</v>
      </c>
      <c r="D11" s="48" t="n">
        <v>10</v>
      </c>
      <c r="E11" s="48" t="n">
        <v>8</v>
      </c>
      <c r="F11" s="48" t="n">
        <v>9</v>
      </c>
      <c r="G11" s="48" t="n">
        <v>9</v>
      </c>
      <c r="H11" s="48" t="n">
        <v>9</v>
      </c>
      <c r="I11" s="48" t="n">
        <v>10</v>
      </c>
      <c r="J11" s="48" t="n">
        <v>10</v>
      </c>
      <c r="K11" s="48" t="n">
        <v>9</v>
      </c>
      <c r="L11" s="48" t="n">
        <v>10</v>
      </c>
      <c r="M11" s="49">
        <f>IF(COUNT(C11:L11)=0,"",SUM(C11:L11))</f>
        <v/>
      </c>
      <c r="N11" s="50">
        <f>IF(M11="","",M11/100)</f>
        <v/>
      </c>
      <c r="O11" s="51">
        <f>IF(M11="","",IF(M11&lt;50,"ضعيف",IF(M11&lt;75,"متوسط","ممتاز")))</f>
        <v/>
      </c>
    </row>
    <row r="12" ht="18" customHeight="1">
      <c r="A12" s="30" t="n">
        <v>7</v>
      </c>
      <c r="B12" s="31">
        <f>'قاعدة الأسماء'!B11</f>
        <v/>
      </c>
      <c r="C12" s="32" t="n">
        <v>9</v>
      </c>
      <c r="D12" s="32" t="n">
        <v>9</v>
      </c>
      <c r="E12" s="32" t="n">
        <v>9</v>
      </c>
      <c r="F12" s="32" t="n">
        <v>8</v>
      </c>
      <c r="G12" s="32" t="n">
        <v>9</v>
      </c>
      <c r="H12" s="32" t="n">
        <v>8</v>
      </c>
      <c r="I12" s="32" t="n">
        <v>9</v>
      </c>
      <c r="J12" s="32" t="n">
        <v>10</v>
      </c>
      <c r="K12" s="32" t="n">
        <v>8</v>
      </c>
      <c r="L12" s="32" t="n">
        <v>10</v>
      </c>
      <c r="M12" s="43">
        <f>IF(COUNT(C12:L12)=0,"",SUM(C12:L12))</f>
        <v/>
      </c>
      <c r="N12" s="44">
        <f>IF(M12="","",M12/100)</f>
        <v/>
      </c>
      <c r="O12" s="45">
        <f>IF(M12="","",IF(M12&lt;50,"ضعيف",IF(M12&lt;75,"متوسط","ممتاز")))</f>
        <v/>
      </c>
    </row>
    <row r="13" ht="18" customHeight="1">
      <c r="A13" s="46" t="n">
        <v>8</v>
      </c>
      <c r="B13" s="47">
        <f>'قاعدة الأسماء'!B12</f>
        <v/>
      </c>
      <c r="C13" s="48" t="n">
        <v>10</v>
      </c>
      <c r="D13" s="48" t="n">
        <v>9</v>
      </c>
      <c r="E13" s="48" t="n">
        <v>8</v>
      </c>
      <c r="F13" s="48" t="n">
        <v>8</v>
      </c>
      <c r="G13" s="48" t="n">
        <v>10</v>
      </c>
      <c r="H13" s="48" t="n">
        <v>10</v>
      </c>
      <c r="I13" s="48" t="n">
        <v>10</v>
      </c>
      <c r="J13" s="48" t="n">
        <v>9</v>
      </c>
      <c r="K13" s="48" t="n">
        <v>10</v>
      </c>
      <c r="L13" s="48" t="n">
        <v>9</v>
      </c>
      <c r="M13" s="49">
        <f>IF(COUNT(C13:L13)=0,"",SUM(C13:L13))</f>
        <v/>
      </c>
      <c r="N13" s="50">
        <f>IF(M13="","",M13/100)</f>
        <v/>
      </c>
      <c r="O13" s="51">
        <f>IF(M13="","",IF(M13&lt;50,"ضعيف",IF(M13&lt;75,"متوسط","ممتاز")))</f>
        <v/>
      </c>
    </row>
    <row r="14" ht="18" customHeight="1">
      <c r="A14" s="30" t="n">
        <v>9</v>
      </c>
      <c r="B14" s="31">
        <f>'قاعدة الأسماء'!B13</f>
        <v/>
      </c>
      <c r="C14" s="32" t="n">
        <v>10</v>
      </c>
      <c r="D14" s="32" t="n">
        <v>9</v>
      </c>
      <c r="E14" s="32" t="n">
        <v>9</v>
      </c>
      <c r="F14" s="32" t="n">
        <v>9</v>
      </c>
      <c r="G14" s="32" t="n">
        <v>10</v>
      </c>
      <c r="H14" s="32" t="n">
        <v>10</v>
      </c>
      <c r="I14" s="32" t="n">
        <v>10</v>
      </c>
      <c r="J14" s="32" t="n">
        <v>8</v>
      </c>
      <c r="K14" s="32" t="n">
        <v>10</v>
      </c>
      <c r="L14" s="32" t="n">
        <v>10</v>
      </c>
      <c r="M14" s="43">
        <f>IF(COUNT(C14:L14)=0,"",SUM(C14:L14))</f>
        <v/>
      </c>
      <c r="N14" s="44">
        <f>IF(M14="","",M14/100)</f>
        <v/>
      </c>
      <c r="O14" s="45">
        <f>IF(M14="","",IF(M14&lt;50,"ضعيف",IF(M14&lt;75,"متوسط","ممتاز")))</f>
        <v/>
      </c>
    </row>
    <row r="15" ht="18" customHeight="1">
      <c r="A15" s="46" t="n">
        <v>10</v>
      </c>
      <c r="B15" s="47">
        <f>'قاعدة الأسماء'!B14</f>
        <v/>
      </c>
      <c r="C15" s="48" t="n">
        <v>10</v>
      </c>
      <c r="D15" s="48" t="n">
        <v>8</v>
      </c>
      <c r="E15" s="48" t="n">
        <v>8</v>
      </c>
      <c r="F15" s="48" t="n">
        <v>9</v>
      </c>
      <c r="G15" s="48" t="n">
        <v>9</v>
      </c>
      <c r="H15" s="48" t="n">
        <v>9</v>
      </c>
      <c r="I15" s="48" t="n">
        <v>10</v>
      </c>
      <c r="J15" s="48" t="n">
        <v>8</v>
      </c>
      <c r="K15" s="48" t="n">
        <v>9</v>
      </c>
      <c r="L15" s="48" t="n">
        <v>10</v>
      </c>
      <c r="M15" s="49">
        <f>IF(COUNT(C15:L15)=0,"",SUM(C15:L15))</f>
        <v/>
      </c>
      <c r="N15" s="50">
        <f>IF(M15="","",M15/100)</f>
        <v/>
      </c>
      <c r="O15" s="51">
        <f>IF(M15="","",IF(M15&lt;50,"ضعيف",IF(M15&lt;75,"متوسط","ممتاز")))</f>
        <v/>
      </c>
    </row>
    <row r="16" ht="18" customHeight="1">
      <c r="A16" s="30" t="n">
        <v>11</v>
      </c>
      <c r="B16" s="31">
        <f>'قاعدة الأسماء'!B15</f>
        <v/>
      </c>
      <c r="C16" s="32" t="n">
        <v>10</v>
      </c>
      <c r="D16" s="32" t="n">
        <v>10</v>
      </c>
      <c r="E16" s="32" t="n">
        <v>9</v>
      </c>
      <c r="F16" s="32" t="n">
        <v>8</v>
      </c>
      <c r="G16" s="32" t="n">
        <v>10</v>
      </c>
      <c r="H16" s="32" t="n">
        <v>10</v>
      </c>
      <c r="I16" s="32" t="n">
        <v>10</v>
      </c>
      <c r="J16" s="32" t="n">
        <v>9</v>
      </c>
      <c r="K16" s="32" t="n">
        <v>10</v>
      </c>
      <c r="L16" s="32" t="n">
        <v>10</v>
      </c>
      <c r="M16" s="43">
        <f>IF(COUNT(C16:L16)=0,"",SUM(C16:L16))</f>
        <v/>
      </c>
      <c r="N16" s="44">
        <f>IF(M16="","",M16/100)</f>
        <v/>
      </c>
      <c r="O16" s="45">
        <f>IF(M16="","",IF(M16&lt;50,"ضعيف",IF(M16&lt;75,"متوسط","ممتاز")))</f>
        <v/>
      </c>
    </row>
    <row r="17" ht="18" customHeight="1">
      <c r="A17" s="46" t="n">
        <v>12</v>
      </c>
      <c r="B17" s="47">
        <f>'قاعدة الأسماء'!B16</f>
        <v/>
      </c>
      <c r="C17" s="48" t="n">
        <v>10</v>
      </c>
      <c r="D17" s="48" t="n">
        <v>10</v>
      </c>
      <c r="E17" s="48" t="n">
        <v>10</v>
      </c>
      <c r="F17" s="48" t="n">
        <v>10</v>
      </c>
      <c r="G17" s="48" t="n">
        <v>10</v>
      </c>
      <c r="H17" s="48" t="n">
        <v>10</v>
      </c>
      <c r="I17" s="48" t="n">
        <v>9</v>
      </c>
      <c r="J17" s="48" t="n">
        <v>10</v>
      </c>
      <c r="K17" s="48" t="n">
        <v>10</v>
      </c>
      <c r="L17" s="48" t="n">
        <v>10</v>
      </c>
      <c r="M17" s="49">
        <f>IF(COUNT(C17:L17)=0,"",SUM(C17:L17))</f>
        <v/>
      </c>
      <c r="N17" s="50">
        <f>IF(M17="","",M17/100)</f>
        <v/>
      </c>
      <c r="O17" s="51">
        <f>IF(M17="","",IF(M17&lt;50,"ضعيف",IF(M17&lt;75,"متوسط","ممتاز")))</f>
        <v/>
      </c>
    </row>
    <row r="18" ht="18" customHeight="1">
      <c r="A18" s="30" t="n">
        <v>13</v>
      </c>
      <c r="B18" s="31">
        <f>'قاعدة الأسماء'!B17</f>
        <v/>
      </c>
      <c r="C18" s="32" t="n">
        <v>9</v>
      </c>
      <c r="D18" s="32" t="n">
        <v>9</v>
      </c>
      <c r="E18" s="32" t="n">
        <v>8</v>
      </c>
      <c r="F18" s="32" t="n">
        <v>9</v>
      </c>
      <c r="G18" s="32" t="n">
        <v>10</v>
      </c>
      <c r="H18" s="32" t="n">
        <v>10</v>
      </c>
      <c r="I18" s="32" t="n">
        <v>10</v>
      </c>
      <c r="J18" s="32" t="n">
        <v>9</v>
      </c>
      <c r="K18" s="32" t="n">
        <v>10</v>
      </c>
      <c r="L18" s="32" t="n">
        <v>9</v>
      </c>
      <c r="M18" s="43">
        <f>IF(COUNT(C18:L18)=0,"",SUM(C18:L18))</f>
        <v/>
      </c>
      <c r="N18" s="44">
        <f>IF(M18="","",M18/100)</f>
        <v/>
      </c>
      <c r="O18" s="45">
        <f>IF(M18="","",IF(M18&lt;50,"ضعيف",IF(M18&lt;75,"متوسط","ممتاز")))</f>
        <v/>
      </c>
    </row>
    <row r="19" ht="18" customHeight="1">
      <c r="A19" s="46" t="n">
        <v>14</v>
      </c>
      <c r="B19" s="47">
        <f>'قاعدة الأسماء'!B18</f>
        <v/>
      </c>
      <c r="C19" s="48" t="n">
        <v>10</v>
      </c>
      <c r="D19" s="48" t="n">
        <v>9</v>
      </c>
      <c r="E19" s="48" t="n">
        <v>8</v>
      </c>
      <c r="F19" s="48" t="n">
        <v>9</v>
      </c>
      <c r="G19" s="48" t="n">
        <v>10</v>
      </c>
      <c r="H19" s="48" t="n">
        <v>9</v>
      </c>
      <c r="I19" s="48" t="n">
        <v>9</v>
      </c>
      <c r="J19" s="48" t="n">
        <v>9</v>
      </c>
      <c r="K19" s="48" t="n">
        <v>10</v>
      </c>
      <c r="L19" s="48" t="n">
        <v>9</v>
      </c>
      <c r="M19" s="49">
        <f>IF(COUNT(C19:L19)=0,"",SUM(C19:L19))</f>
        <v/>
      </c>
      <c r="N19" s="50">
        <f>IF(M19="","",M19/100)</f>
        <v/>
      </c>
      <c r="O19" s="51">
        <f>IF(M19="","",IF(M19&lt;50,"ضعيف",IF(M19&lt;75,"متوسط","ممتاز")))</f>
        <v/>
      </c>
    </row>
    <row r="20" ht="18" customHeight="1">
      <c r="A20" s="30" t="n">
        <v>15</v>
      </c>
      <c r="B20" s="31">
        <f>'قاعدة الأسماء'!B19</f>
        <v/>
      </c>
      <c r="C20" s="32" t="n">
        <v>9</v>
      </c>
      <c r="D20" s="32" t="n">
        <v>9</v>
      </c>
      <c r="E20" s="32" t="n">
        <v>8</v>
      </c>
      <c r="F20" s="32" t="n">
        <v>9</v>
      </c>
      <c r="G20" s="32" t="n">
        <v>10</v>
      </c>
      <c r="H20" s="32" t="n">
        <v>9</v>
      </c>
      <c r="I20" s="32" t="n">
        <v>10</v>
      </c>
      <c r="J20" s="32" t="n">
        <v>10</v>
      </c>
      <c r="K20" s="32" t="n">
        <v>9</v>
      </c>
      <c r="L20" s="32" t="n">
        <v>9</v>
      </c>
      <c r="M20" s="43">
        <f>IF(COUNT(C20:L20)=0,"",SUM(C20:L20))</f>
        <v/>
      </c>
      <c r="N20" s="44">
        <f>IF(M20="","",M20/100)</f>
        <v/>
      </c>
      <c r="O20" s="45">
        <f>IF(M20="","",IF(M20&lt;50,"ضعيف",IF(M20&lt;75,"متوسط","ممتاز")))</f>
        <v/>
      </c>
    </row>
    <row r="21" ht="18" customHeight="1">
      <c r="A21" s="46" t="n">
        <v>16</v>
      </c>
      <c r="B21" s="47">
        <f>'قاعدة الأسماء'!B20</f>
        <v/>
      </c>
      <c r="C21" s="48" t="n">
        <v>10</v>
      </c>
      <c r="D21" s="48" t="n">
        <v>9</v>
      </c>
      <c r="E21" s="48" t="n">
        <v>9</v>
      </c>
      <c r="F21" s="48" t="n">
        <v>8</v>
      </c>
      <c r="G21" s="48" t="n">
        <v>10</v>
      </c>
      <c r="H21" s="48" t="n">
        <v>10</v>
      </c>
      <c r="I21" s="48" t="n">
        <v>9</v>
      </c>
      <c r="J21" s="48" t="n">
        <v>10</v>
      </c>
      <c r="K21" s="48" t="n">
        <v>10</v>
      </c>
      <c r="L21" s="48" t="n">
        <v>10</v>
      </c>
      <c r="M21" s="49">
        <f>IF(COUNT(C21:L21)=0,"",SUM(C21:L21))</f>
        <v/>
      </c>
      <c r="N21" s="50">
        <f>IF(M21="","",M21/100)</f>
        <v/>
      </c>
      <c r="O21" s="51">
        <f>IF(M21="","",IF(M21&lt;50,"ضعيف",IF(M21&lt;75,"متوسط","ممتاز")))</f>
        <v/>
      </c>
    </row>
    <row r="22" ht="18" customHeight="1">
      <c r="A22" s="30" t="n">
        <v>17</v>
      </c>
      <c r="B22" s="31">
        <f>'قاعدة الأسماء'!B21</f>
        <v/>
      </c>
      <c r="C22" s="32" t="n">
        <v>10</v>
      </c>
      <c r="D22" s="32" t="n">
        <v>10</v>
      </c>
      <c r="E22" s="32" t="n">
        <v>9</v>
      </c>
      <c r="F22" s="32" t="n">
        <v>9</v>
      </c>
      <c r="G22" s="32" t="n">
        <v>10</v>
      </c>
      <c r="H22" s="32" t="n">
        <v>9</v>
      </c>
      <c r="I22" s="32" t="n">
        <v>10</v>
      </c>
      <c r="J22" s="32" t="n">
        <v>9</v>
      </c>
      <c r="K22" s="32" t="n">
        <v>10</v>
      </c>
      <c r="L22" s="32" t="n">
        <v>10</v>
      </c>
      <c r="M22" s="43">
        <f>IF(COUNT(C22:L22)=0,"",SUM(C22:L22))</f>
        <v/>
      </c>
      <c r="N22" s="44">
        <f>IF(M22="","",M22/100)</f>
        <v/>
      </c>
      <c r="O22" s="45">
        <f>IF(M22="","",IF(M22&lt;50,"ضعيف",IF(M22&lt;75,"متوسط","ممتاز")))</f>
        <v/>
      </c>
    </row>
    <row r="23" ht="18" customHeight="1">
      <c r="A23" s="46" t="n">
        <v>18</v>
      </c>
      <c r="B23" s="47">
        <f>'قاعدة الأسماء'!B22</f>
        <v/>
      </c>
      <c r="C23" s="48" t="n">
        <v>9</v>
      </c>
      <c r="D23" s="48" t="n">
        <v>10</v>
      </c>
      <c r="E23" s="48" t="n">
        <v>8</v>
      </c>
      <c r="F23" s="48" t="n">
        <v>8</v>
      </c>
      <c r="G23" s="48" t="n">
        <v>9</v>
      </c>
      <c r="H23" s="48" t="n">
        <v>8</v>
      </c>
      <c r="I23" s="48" t="n">
        <v>10</v>
      </c>
      <c r="J23" s="48" t="n">
        <v>9</v>
      </c>
      <c r="K23" s="48" t="n">
        <v>8</v>
      </c>
      <c r="L23" s="48" t="n">
        <v>8</v>
      </c>
      <c r="M23" s="49">
        <f>IF(COUNT(C23:L23)=0,"",SUM(C23:L23))</f>
        <v/>
      </c>
      <c r="N23" s="50">
        <f>IF(M23="","",M23/100)</f>
        <v/>
      </c>
      <c r="O23" s="51">
        <f>IF(M23="","",IF(M23&lt;50,"ضعيف",IF(M23&lt;75,"متوسط","ممتاز")))</f>
        <v/>
      </c>
    </row>
    <row r="24" ht="18" customHeight="1">
      <c r="A24" s="30" t="n">
        <v>19</v>
      </c>
      <c r="B24" s="31">
        <f>'قاعدة الأسماء'!B23</f>
        <v/>
      </c>
      <c r="C24" s="32" t="n">
        <v>10</v>
      </c>
      <c r="D24" s="32" t="n">
        <v>10</v>
      </c>
      <c r="E24" s="32" t="n">
        <v>9</v>
      </c>
      <c r="F24" s="32" t="n">
        <v>10</v>
      </c>
      <c r="G24" s="32" t="n">
        <v>10</v>
      </c>
      <c r="H24" s="32" t="n">
        <v>10</v>
      </c>
      <c r="I24" s="32" t="n">
        <v>10</v>
      </c>
      <c r="J24" s="32" t="n">
        <v>10</v>
      </c>
      <c r="K24" s="32" t="n">
        <v>10</v>
      </c>
      <c r="L24" s="32" t="n">
        <v>10</v>
      </c>
      <c r="M24" s="43">
        <f>IF(COUNT(C24:L24)=0,"",SUM(C24:L24))</f>
        <v/>
      </c>
      <c r="N24" s="44">
        <f>IF(M24="","",M24/100)</f>
        <v/>
      </c>
      <c r="O24" s="45">
        <f>IF(M24="","",IF(M24&lt;50,"ضعيف",IF(M24&lt;75,"متوسط","ممتاز")))</f>
        <v/>
      </c>
    </row>
    <row r="25" ht="18" customHeight="1">
      <c r="A25" s="46" t="n">
        <v>20</v>
      </c>
      <c r="B25" s="47">
        <f>'قاعدة الأسماء'!B24</f>
        <v/>
      </c>
      <c r="C25" s="48" t="n">
        <v>10</v>
      </c>
      <c r="D25" s="48" t="n">
        <v>10</v>
      </c>
      <c r="E25" s="48" t="n">
        <v>9</v>
      </c>
      <c r="F25" s="48" t="n">
        <v>9</v>
      </c>
      <c r="G25" s="48" t="n">
        <v>10</v>
      </c>
      <c r="H25" s="48" t="n">
        <v>10</v>
      </c>
      <c r="I25" s="48" t="n">
        <v>10</v>
      </c>
      <c r="J25" s="48" t="n">
        <v>10</v>
      </c>
      <c r="K25" s="48" t="n">
        <v>10</v>
      </c>
      <c r="L25" s="48" t="n">
        <v>9</v>
      </c>
      <c r="M25" s="49">
        <f>IF(COUNT(C25:L25)=0,"",SUM(C25:L25))</f>
        <v/>
      </c>
      <c r="N25" s="50">
        <f>IF(M25="","",M25/100)</f>
        <v/>
      </c>
      <c r="O25" s="51">
        <f>IF(M25="","",IF(M25&lt;50,"ضعيف",IF(M25&lt;75,"متوسط","ممتاز")))</f>
        <v/>
      </c>
    </row>
    <row r="26" ht="18" customHeight="1">
      <c r="A26" s="30" t="n">
        <v>21</v>
      </c>
      <c r="B26" s="31">
        <f>'قاعدة الأسماء'!B25</f>
        <v/>
      </c>
      <c r="C26" s="32" t="n">
        <v>8</v>
      </c>
      <c r="D26" s="32" t="n">
        <v>9</v>
      </c>
      <c r="E26" s="32" t="n">
        <v>8</v>
      </c>
      <c r="F26" s="32" t="n">
        <v>8</v>
      </c>
      <c r="G26" s="32" t="n">
        <v>7</v>
      </c>
      <c r="H26" s="32" t="n">
        <v>9</v>
      </c>
      <c r="I26" s="32" t="n">
        <v>8</v>
      </c>
      <c r="J26" s="32" t="n">
        <v>7</v>
      </c>
      <c r="K26" s="32" t="n">
        <v>8</v>
      </c>
      <c r="L26" s="32" t="n">
        <v>8</v>
      </c>
      <c r="M26" s="43">
        <f>IF(COUNT(C26:L26)=0,"",SUM(C26:L26))</f>
        <v/>
      </c>
      <c r="N26" s="44">
        <f>IF(M26="","",M26/100)</f>
        <v/>
      </c>
      <c r="O26" s="45">
        <f>IF(M26="","",IF(M26&lt;50,"ضعيف",IF(M26&lt;75,"متوسط","ممتاز")))</f>
        <v/>
      </c>
    </row>
    <row r="27" ht="18" customHeight="1">
      <c r="A27" s="46" t="n">
        <v>22</v>
      </c>
      <c r="B27" s="47">
        <f>'قاعدة الأسماء'!B26</f>
        <v/>
      </c>
      <c r="C27" s="48" t="n">
        <v>8</v>
      </c>
      <c r="D27" s="48" t="n">
        <v>7</v>
      </c>
      <c r="E27" s="48" t="n">
        <v>9</v>
      </c>
      <c r="F27" s="48" t="n">
        <v>8</v>
      </c>
      <c r="G27" s="48" t="n">
        <v>8</v>
      </c>
      <c r="H27" s="48" t="n">
        <v>9</v>
      </c>
      <c r="I27" s="48" t="n">
        <v>7</v>
      </c>
      <c r="J27" s="48" t="n">
        <v>7</v>
      </c>
      <c r="K27" s="48" t="n">
        <v>8</v>
      </c>
      <c r="L27" s="48" t="n">
        <v>9</v>
      </c>
      <c r="M27" s="49">
        <f>IF(COUNT(C27:L27)=0,"",SUM(C27:L27))</f>
        <v/>
      </c>
      <c r="N27" s="50">
        <f>IF(M27="","",M27/100)</f>
        <v/>
      </c>
      <c r="O27" s="51">
        <f>IF(M27="","",IF(M27&lt;50,"ضعيف",IF(M27&lt;75,"متوسط","ممتاز")))</f>
        <v/>
      </c>
    </row>
    <row r="28" ht="18" customHeight="1">
      <c r="A28" s="30" t="n">
        <v>23</v>
      </c>
      <c r="B28" s="31">
        <f>'قاعدة الأسماء'!B27</f>
        <v/>
      </c>
      <c r="C28" s="32" t="n">
        <v>8</v>
      </c>
      <c r="D28" s="32" t="n">
        <v>9</v>
      </c>
      <c r="E28" s="32" t="n">
        <v>7</v>
      </c>
      <c r="F28" s="32" t="n">
        <v>8</v>
      </c>
      <c r="G28" s="32" t="n">
        <v>9</v>
      </c>
      <c r="H28" s="32" t="n">
        <v>8</v>
      </c>
      <c r="I28" s="32" t="n">
        <v>8</v>
      </c>
      <c r="J28" s="32" t="n">
        <v>7</v>
      </c>
      <c r="K28" s="32" t="n">
        <v>9</v>
      </c>
      <c r="L28" s="32" t="n">
        <v>9</v>
      </c>
      <c r="M28" s="43">
        <f>IF(COUNT(C28:L28)=0,"",SUM(C28:L28))</f>
        <v/>
      </c>
      <c r="N28" s="44">
        <f>IF(M28="","",M28/100)</f>
        <v/>
      </c>
      <c r="O28" s="45">
        <f>IF(M28="","",IF(M28&lt;50,"ضعيف",IF(M28&lt;75,"متوسط","ممتاز")))</f>
        <v/>
      </c>
    </row>
    <row r="29" ht="18" customHeight="1">
      <c r="A29" s="46" t="n">
        <v>24</v>
      </c>
      <c r="B29" s="47">
        <f>'قاعدة الأسماء'!B28</f>
        <v/>
      </c>
      <c r="C29" s="48" t="n">
        <v>9</v>
      </c>
      <c r="D29" s="48" t="n">
        <v>8</v>
      </c>
      <c r="E29" s="48" t="n">
        <v>7</v>
      </c>
      <c r="F29" s="48" t="n">
        <v>7</v>
      </c>
      <c r="G29" s="48" t="n">
        <v>9</v>
      </c>
      <c r="H29" s="48" t="n">
        <v>8</v>
      </c>
      <c r="I29" s="48" t="n">
        <v>10</v>
      </c>
      <c r="J29" s="48" t="n">
        <v>9</v>
      </c>
      <c r="K29" s="48" t="n">
        <v>10</v>
      </c>
      <c r="L29" s="48" t="n">
        <v>9</v>
      </c>
      <c r="M29" s="49">
        <f>IF(COUNT(C29:L29)=0,"",SUM(C29:L29))</f>
        <v/>
      </c>
      <c r="N29" s="50">
        <f>IF(M29="","",M29/100)</f>
        <v/>
      </c>
      <c r="O29" s="51">
        <f>IF(M29="","",IF(M29&lt;50,"ضعيف",IF(M29&lt;75,"متوسط","ممتاز")))</f>
        <v/>
      </c>
    </row>
    <row r="30" ht="18" customHeight="1">
      <c r="A30" s="30" t="n">
        <v>25</v>
      </c>
      <c r="B30" s="31">
        <f>'قاعدة الأسماء'!B29</f>
        <v/>
      </c>
      <c r="C30" s="32" t="n">
        <v>8</v>
      </c>
      <c r="D30" s="32" t="n">
        <v>8</v>
      </c>
      <c r="E30" s="32" t="n">
        <v>8</v>
      </c>
      <c r="F30" s="32" t="n">
        <v>8</v>
      </c>
      <c r="G30" s="32" t="n">
        <v>8</v>
      </c>
      <c r="H30" s="32" t="n">
        <v>8</v>
      </c>
      <c r="I30" s="32" t="n">
        <v>8</v>
      </c>
      <c r="J30" s="32" t="n">
        <v>8</v>
      </c>
      <c r="K30" s="32" t="n">
        <v>8</v>
      </c>
      <c r="L30" s="32" t="n">
        <v>8</v>
      </c>
      <c r="M30" s="43">
        <f>IF(COUNT(C30:L30)=0,"",SUM(C30:L30))</f>
        <v/>
      </c>
      <c r="N30" s="44">
        <f>IF(M30="","",M30/100)</f>
        <v/>
      </c>
      <c r="O30" s="45">
        <f>IF(M30="","",IF(M30&lt;50,"ضعيف",IF(M30&lt;75,"متوسط","ممتاز")))</f>
        <v/>
      </c>
    </row>
    <row r="31" ht="18" customHeight="1">
      <c r="A31" s="46" t="n">
        <v>26</v>
      </c>
      <c r="B31" s="47">
        <f>'قاعدة الأسماء'!B30</f>
        <v/>
      </c>
      <c r="C31" s="48" t="n">
        <v>9</v>
      </c>
      <c r="D31" s="48" t="n">
        <v>10</v>
      </c>
      <c r="E31" s="48" t="n">
        <v>8</v>
      </c>
      <c r="F31" s="48" t="n">
        <v>9</v>
      </c>
      <c r="G31" s="48" t="n">
        <v>8</v>
      </c>
      <c r="H31" s="48" t="n">
        <v>8</v>
      </c>
      <c r="I31" s="48" t="n">
        <v>9</v>
      </c>
      <c r="J31" s="48" t="n">
        <v>8</v>
      </c>
      <c r="K31" s="48" t="n">
        <v>10</v>
      </c>
      <c r="L31" s="48" t="n">
        <v>9</v>
      </c>
      <c r="M31" s="49">
        <f>IF(COUNT(C31:L31)=0,"",SUM(C31:L31))</f>
        <v/>
      </c>
      <c r="N31" s="50">
        <f>IF(M31="","",M31/100)</f>
        <v/>
      </c>
      <c r="O31" s="51">
        <f>IF(M31="","",IF(M31&lt;50,"ضعيف",IF(M31&lt;75,"متوسط","ممتاز")))</f>
        <v/>
      </c>
    </row>
    <row r="32" ht="18" customHeight="1">
      <c r="A32" s="30" t="n">
        <v>27</v>
      </c>
      <c r="B32" s="31">
        <f>'قاعدة الأسماء'!B31</f>
        <v/>
      </c>
      <c r="C32" s="32" t="n">
        <v>8</v>
      </c>
      <c r="D32" s="32" t="n">
        <v>9</v>
      </c>
      <c r="E32" s="32" t="n">
        <v>7</v>
      </c>
      <c r="F32" s="32" t="n">
        <v>9</v>
      </c>
      <c r="G32" s="32" t="n">
        <v>7</v>
      </c>
      <c r="H32" s="32" t="n">
        <v>8</v>
      </c>
      <c r="I32" s="32" t="n">
        <v>8</v>
      </c>
      <c r="J32" s="32" t="n">
        <v>8</v>
      </c>
      <c r="K32" s="32" t="n">
        <v>8</v>
      </c>
      <c r="L32" s="32" t="n">
        <v>7</v>
      </c>
      <c r="M32" s="43">
        <f>IF(COUNT(C32:L32)=0,"",SUM(C32:L32))</f>
        <v/>
      </c>
      <c r="N32" s="44">
        <f>IF(M32="","",M32/100)</f>
        <v/>
      </c>
      <c r="O32" s="45">
        <f>IF(M32="","",IF(M32&lt;50,"ضعيف",IF(M32&lt;75,"متوسط","ممتاز")))</f>
        <v/>
      </c>
    </row>
    <row r="33" ht="18" customHeight="1">
      <c r="A33" s="46" t="n">
        <v>28</v>
      </c>
      <c r="B33" s="47">
        <f>'قاعدة الأسماء'!B32</f>
        <v/>
      </c>
      <c r="C33" s="48" t="n">
        <v>9</v>
      </c>
      <c r="D33" s="48" t="n">
        <v>9</v>
      </c>
      <c r="E33" s="48" t="n">
        <v>9</v>
      </c>
      <c r="F33" s="48" t="n">
        <v>9</v>
      </c>
      <c r="G33" s="48" t="n">
        <v>9</v>
      </c>
      <c r="H33" s="48" t="n">
        <v>8</v>
      </c>
      <c r="I33" s="48" t="n">
        <v>9</v>
      </c>
      <c r="J33" s="48" t="n">
        <v>7</v>
      </c>
      <c r="K33" s="48" t="n">
        <v>8</v>
      </c>
      <c r="L33" s="48" t="n">
        <v>8</v>
      </c>
      <c r="M33" s="49">
        <f>IF(COUNT(C33:L33)=0,"",SUM(C33:L33))</f>
        <v/>
      </c>
      <c r="N33" s="50">
        <f>IF(M33="","",M33/100)</f>
        <v/>
      </c>
      <c r="O33" s="51">
        <f>IF(M33="","",IF(M33&lt;50,"ضعيف",IF(M33&lt;75,"متوسط","ممتاز")))</f>
        <v/>
      </c>
    </row>
    <row r="34" ht="18" customHeight="1">
      <c r="A34" s="30" t="n">
        <v>29</v>
      </c>
      <c r="B34" s="31">
        <f>'قاعدة الأسماء'!B33</f>
        <v/>
      </c>
      <c r="C34" s="32" t="n">
        <v>7</v>
      </c>
      <c r="D34" s="32" t="n">
        <v>8</v>
      </c>
      <c r="E34" s="32" t="n">
        <v>8</v>
      </c>
      <c r="F34" s="32" t="n">
        <v>8</v>
      </c>
      <c r="G34" s="32" t="n">
        <v>8</v>
      </c>
      <c r="H34" s="32" t="n">
        <v>7</v>
      </c>
      <c r="I34" s="32" t="n">
        <v>8</v>
      </c>
      <c r="J34" s="32" t="n">
        <v>8</v>
      </c>
      <c r="K34" s="32" t="n">
        <v>9</v>
      </c>
      <c r="L34" s="32" t="n">
        <v>7</v>
      </c>
      <c r="M34" s="43">
        <f>IF(COUNT(C34:L34)=0,"",SUM(C34:L34))</f>
        <v/>
      </c>
      <c r="N34" s="44">
        <f>IF(M34="","",M34/100)</f>
        <v/>
      </c>
      <c r="O34" s="45">
        <f>IF(M34="","",IF(M34&lt;50,"ضعيف",IF(M34&lt;75,"متوسط","ممتاز")))</f>
        <v/>
      </c>
    </row>
    <row r="35" ht="18" customHeight="1">
      <c r="A35" s="46" t="n">
        <v>30</v>
      </c>
      <c r="B35" s="47">
        <f>'قاعدة الأسماء'!B34</f>
        <v/>
      </c>
      <c r="C35" s="48" t="n">
        <v>9</v>
      </c>
      <c r="D35" s="48" t="n">
        <v>9</v>
      </c>
      <c r="E35" s="48" t="n">
        <v>7</v>
      </c>
      <c r="F35" s="48" t="n">
        <v>7</v>
      </c>
      <c r="G35" s="48" t="n">
        <v>8</v>
      </c>
      <c r="H35" s="48" t="n">
        <v>8</v>
      </c>
      <c r="I35" s="48" t="n">
        <v>8</v>
      </c>
      <c r="J35" s="48" t="n">
        <v>8</v>
      </c>
      <c r="K35" s="48" t="n">
        <v>8</v>
      </c>
      <c r="L35" s="48" t="n">
        <v>8</v>
      </c>
      <c r="M35" s="49">
        <f>IF(COUNT(C35:L35)=0,"",SUM(C35:L35))</f>
        <v/>
      </c>
      <c r="N35" s="50">
        <f>IF(M35="","",M35/100)</f>
        <v/>
      </c>
      <c r="O35" s="51">
        <f>IF(M35="","",IF(M35&lt;50,"ضعيف",IF(M35&lt;75,"متوسط","ممتاز")))</f>
        <v/>
      </c>
    </row>
    <row r="36" ht="18" customHeight="1">
      <c r="A36" s="30" t="n">
        <v>31</v>
      </c>
      <c r="B36" s="31">
        <f>'قاعدة الأسماء'!B35</f>
        <v/>
      </c>
      <c r="C36" s="32" t="n">
        <v>9</v>
      </c>
      <c r="D36" s="32" t="n">
        <v>9</v>
      </c>
      <c r="E36" s="32" t="n">
        <v>7</v>
      </c>
      <c r="F36" s="32" t="n">
        <v>7</v>
      </c>
      <c r="G36" s="32" t="n">
        <v>8</v>
      </c>
      <c r="H36" s="32" t="n">
        <v>8</v>
      </c>
      <c r="I36" s="32" t="n">
        <v>8</v>
      </c>
      <c r="J36" s="32" t="n">
        <v>9</v>
      </c>
      <c r="K36" s="32" t="n">
        <v>9</v>
      </c>
      <c r="L36" s="32" t="n">
        <v>8</v>
      </c>
      <c r="M36" s="43">
        <f>IF(COUNT(C36:L36)=0,"",SUM(C36:L36))</f>
        <v/>
      </c>
      <c r="N36" s="44">
        <f>IF(M36="","",M36/100)</f>
        <v/>
      </c>
      <c r="O36" s="45">
        <f>IF(M36="","",IF(M36&lt;50,"ضعيف",IF(M36&lt;75,"متوسط","ممتاز")))</f>
        <v/>
      </c>
    </row>
    <row r="37" ht="18" customHeight="1">
      <c r="A37" s="46" t="n">
        <v>32</v>
      </c>
      <c r="B37" s="47">
        <f>'قاعدة الأسماء'!B36</f>
        <v/>
      </c>
      <c r="C37" s="48" t="n">
        <v>8</v>
      </c>
      <c r="D37" s="48" t="n">
        <v>9</v>
      </c>
      <c r="E37" s="48" t="n">
        <v>6</v>
      </c>
      <c r="F37" s="48" t="n">
        <v>7</v>
      </c>
      <c r="G37" s="48" t="n">
        <v>7</v>
      </c>
      <c r="H37" s="48" t="n">
        <v>6</v>
      </c>
      <c r="I37" s="48" t="n">
        <v>9</v>
      </c>
      <c r="J37" s="48" t="n">
        <v>7</v>
      </c>
      <c r="K37" s="48" t="n">
        <v>7</v>
      </c>
      <c r="L37" s="48" t="n">
        <v>7</v>
      </c>
      <c r="M37" s="49">
        <f>IF(COUNT(C37:L37)=0,"",SUM(C37:L37))</f>
        <v/>
      </c>
      <c r="N37" s="50">
        <f>IF(M37="","",M37/100)</f>
        <v/>
      </c>
      <c r="O37" s="51">
        <f>IF(M37="","",IF(M37&lt;50,"ضعيف",IF(M37&lt;75,"متوسط","ممتاز")))</f>
        <v/>
      </c>
    </row>
    <row r="38" ht="18" customHeight="1">
      <c r="A38" s="30" t="n">
        <v>33</v>
      </c>
      <c r="B38" s="31">
        <f>'قاعدة الأسماء'!B37</f>
        <v/>
      </c>
      <c r="C38" s="32" t="n">
        <v>8</v>
      </c>
      <c r="D38" s="32" t="n">
        <v>8</v>
      </c>
      <c r="E38" s="32" t="n">
        <v>8</v>
      </c>
      <c r="F38" s="32" t="n">
        <v>7</v>
      </c>
      <c r="G38" s="32" t="n">
        <v>9</v>
      </c>
      <c r="H38" s="32" t="n">
        <v>8</v>
      </c>
      <c r="I38" s="32" t="n">
        <v>8</v>
      </c>
      <c r="J38" s="32" t="n">
        <v>7</v>
      </c>
      <c r="K38" s="32" t="n">
        <v>7</v>
      </c>
      <c r="L38" s="32" t="n">
        <v>8</v>
      </c>
      <c r="M38" s="43">
        <f>IF(COUNT(C38:L38)=0,"",SUM(C38:L38))</f>
        <v/>
      </c>
      <c r="N38" s="44">
        <f>IF(M38="","",M38/100)</f>
        <v/>
      </c>
      <c r="O38" s="45">
        <f>IF(M38="","",IF(M38&lt;50,"ضعيف",IF(M38&lt;75,"متوسط","ممتاز")))</f>
        <v/>
      </c>
    </row>
    <row r="39" ht="18" customHeight="1">
      <c r="A39" s="46" t="n">
        <v>34</v>
      </c>
      <c r="B39" s="47">
        <f>'قاعدة الأسماء'!B38</f>
        <v/>
      </c>
      <c r="C39" s="48" t="n">
        <v>9</v>
      </c>
      <c r="D39" s="48" t="n">
        <v>7</v>
      </c>
      <c r="E39" s="48" t="n">
        <v>8</v>
      </c>
      <c r="F39" s="48" t="n">
        <v>8</v>
      </c>
      <c r="G39" s="48" t="n">
        <v>8</v>
      </c>
      <c r="H39" s="48" t="n">
        <v>8</v>
      </c>
      <c r="I39" s="48" t="n">
        <v>9</v>
      </c>
      <c r="J39" s="48" t="n">
        <v>8</v>
      </c>
      <c r="K39" s="48" t="n">
        <v>9</v>
      </c>
      <c r="L39" s="48" t="n">
        <v>7</v>
      </c>
      <c r="M39" s="49">
        <f>IF(COUNT(C39:L39)=0,"",SUM(C39:L39))</f>
        <v/>
      </c>
      <c r="N39" s="50">
        <f>IF(M39="","",M39/100)</f>
        <v/>
      </c>
      <c r="O39" s="51">
        <f>IF(M39="","",IF(M39&lt;50,"ضعيف",IF(M39&lt;75,"متوسط","ممتاز")))</f>
        <v/>
      </c>
    </row>
    <row r="40" ht="18" customHeight="1">
      <c r="A40" s="30" t="n">
        <v>35</v>
      </c>
      <c r="B40" s="31">
        <f>'قاعدة الأسماء'!B39</f>
        <v/>
      </c>
      <c r="C40" s="32" t="n">
        <v>7</v>
      </c>
      <c r="D40" s="32" t="n">
        <v>7</v>
      </c>
      <c r="E40" s="32" t="n">
        <v>9</v>
      </c>
      <c r="F40" s="32" t="n">
        <v>9</v>
      </c>
      <c r="G40" s="32" t="n">
        <v>9</v>
      </c>
      <c r="H40" s="32" t="n">
        <v>9</v>
      </c>
      <c r="I40" s="32" t="n">
        <v>9</v>
      </c>
      <c r="J40" s="32" t="n">
        <v>7</v>
      </c>
      <c r="K40" s="32" t="n">
        <v>8</v>
      </c>
      <c r="L40" s="32" t="n">
        <v>9</v>
      </c>
      <c r="M40" s="43">
        <f>IF(COUNT(C40:L40)=0,"",SUM(C40:L40))</f>
        <v/>
      </c>
      <c r="N40" s="44">
        <f>IF(M40="","",M40/100)</f>
        <v/>
      </c>
      <c r="O40" s="45">
        <f>IF(M40="","",IF(M40&lt;50,"ضعيف",IF(M40&lt;75,"متوسط","ممتاز")))</f>
        <v/>
      </c>
    </row>
    <row r="41" ht="18" customHeight="1">
      <c r="A41" s="46" t="n">
        <v>36</v>
      </c>
      <c r="B41" s="47">
        <f>'قاعدة الأسماء'!B40</f>
        <v/>
      </c>
      <c r="C41" s="48" t="n">
        <v>9</v>
      </c>
      <c r="D41" s="48" t="n">
        <v>8</v>
      </c>
      <c r="E41" s="48" t="n">
        <v>8</v>
      </c>
      <c r="F41" s="48" t="n">
        <v>8</v>
      </c>
      <c r="G41" s="48" t="n">
        <v>9</v>
      </c>
      <c r="H41" s="48" t="n">
        <v>8</v>
      </c>
      <c r="I41" s="48" t="n">
        <v>8</v>
      </c>
      <c r="J41" s="48" t="n">
        <v>9</v>
      </c>
      <c r="K41" s="48" t="n">
        <v>8</v>
      </c>
      <c r="L41" s="48" t="n">
        <v>8</v>
      </c>
      <c r="M41" s="49">
        <f>IF(COUNT(C41:L41)=0,"",SUM(C41:L41))</f>
        <v/>
      </c>
      <c r="N41" s="50">
        <f>IF(M41="","",M41/100)</f>
        <v/>
      </c>
      <c r="O41" s="51">
        <f>IF(M41="","",IF(M41&lt;50,"ضعيف",IF(M41&lt;75,"متوسط","ممتاز")))</f>
        <v/>
      </c>
    </row>
    <row r="42" ht="18" customHeight="1">
      <c r="A42" s="30" t="n">
        <v>37</v>
      </c>
      <c r="B42" s="31">
        <f>'قاعدة الأسماء'!B41</f>
        <v/>
      </c>
      <c r="C42" s="32" t="n">
        <v>8</v>
      </c>
      <c r="D42" s="32" t="n">
        <v>10</v>
      </c>
      <c r="E42" s="32" t="n">
        <v>8</v>
      </c>
      <c r="F42" s="32" t="n">
        <v>8</v>
      </c>
      <c r="G42" s="32" t="n">
        <v>8</v>
      </c>
      <c r="H42" s="32" t="n">
        <v>8</v>
      </c>
      <c r="I42" s="32" t="n">
        <v>9</v>
      </c>
      <c r="J42" s="32" t="n">
        <v>8</v>
      </c>
      <c r="K42" s="32" t="n">
        <v>8</v>
      </c>
      <c r="L42" s="32" t="n">
        <v>9</v>
      </c>
      <c r="M42" s="43">
        <f>IF(COUNT(C42:L42)=0,"",SUM(C42:L42))</f>
        <v/>
      </c>
      <c r="N42" s="44">
        <f>IF(M42="","",M42/100)</f>
        <v/>
      </c>
      <c r="O42" s="45">
        <f>IF(M42="","",IF(M42&lt;50,"ضعيف",IF(M42&lt;75,"متوسط","ممتاز")))</f>
        <v/>
      </c>
    </row>
    <row r="43" ht="18" customHeight="1">
      <c r="A43" s="46" t="n">
        <v>38</v>
      </c>
      <c r="B43" s="47">
        <f>'قاعدة الأسماء'!B42</f>
        <v/>
      </c>
      <c r="C43" s="48" t="n">
        <v>8</v>
      </c>
      <c r="D43" s="48" t="n">
        <v>8</v>
      </c>
      <c r="E43" s="48" t="n">
        <v>8</v>
      </c>
      <c r="F43" s="48" t="n">
        <v>8</v>
      </c>
      <c r="G43" s="48" t="n">
        <v>8</v>
      </c>
      <c r="H43" s="48" t="n">
        <v>8</v>
      </c>
      <c r="I43" s="48" t="n">
        <v>9</v>
      </c>
      <c r="J43" s="48" t="n">
        <v>8</v>
      </c>
      <c r="K43" s="48" t="n">
        <v>8</v>
      </c>
      <c r="L43" s="48" t="n">
        <v>8</v>
      </c>
      <c r="M43" s="49">
        <f>IF(COUNT(C43:L43)=0,"",SUM(C43:L43))</f>
        <v/>
      </c>
      <c r="N43" s="50">
        <f>IF(M43="","",M43/100)</f>
        <v/>
      </c>
      <c r="O43" s="51">
        <f>IF(M43="","",IF(M43&lt;50,"ضعيف",IF(M43&lt;75,"متوسط","ممتاز")))</f>
        <v/>
      </c>
    </row>
    <row r="44" ht="18" customHeight="1">
      <c r="A44" s="30" t="n">
        <v>39</v>
      </c>
      <c r="B44" s="31">
        <f>'قاعدة الأسماء'!B43</f>
        <v/>
      </c>
      <c r="C44" s="32" t="n">
        <v>8</v>
      </c>
      <c r="D44" s="32" t="n">
        <v>7</v>
      </c>
      <c r="E44" s="32" t="n">
        <v>6</v>
      </c>
      <c r="F44" s="32" t="n">
        <v>7</v>
      </c>
      <c r="G44" s="32" t="n">
        <v>9</v>
      </c>
      <c r="H44" s="32" t="n">
        <v>9</v>
      </c>
      <c r="I44" s="32" t="n">
        <v>8</v>
      </c>
      <c r="J44" s="32" t="n">
        <v>9</v>
      </c>
      <c r="K44" s="32" t="n">
        <v>7</v>
      </c>
      <c r="L44" s="32" t="n">
        <v>7</v>
      </c>
      <c r="M44" s="43">
        <f>IF(COUNT(C44:L44)=0,"",SUM(C44:L44))</f>
        <v/>
      </c>
      <c r="N44" s="44">
        <f>IF(M44="","",M44/100)</f>
        <v/>
      </c>
      <c r="O44" s="45">
        <f>IF(M44="","",IF(M44&lt;50,"ضعيف",IF(M44&lt;75,"متوسط","ممتاز")))</f>
        <v/>
      </c>
    </row>
    <row r="45" ht="18" customHeight="1">
      <c r="A45" s="46" t="n">
        <v>40</v>
      </c>
      <c r="B45" s="47">
        <f>'قاعدة الأسماء'!B44</f>
        <v/>
      </c>
      <c r="C45" s="48" t="n">
        <v>8</v>
      </c>
      <c r="D45" s="48" t="n">
        <v>7</v>
      </c>
      <c r="E45" s="48" t="n">
        <v>8</v>
      </c>
      <c r="F45" s="48" t="n">
        <v>5</v>
      </c>
      <c r="G45" s="48" t="n">
        <v>6</v>
      </c>
      <c r="H45" s="48" t="n">
        <v>9</v>
      </c>
      <c r="I45" s="48" t="n">
        <v>7</v>
      </c>
      <c r="J45" s="48" t="n">
        <v>8</v>
      </c>
      <c r="K45" s="48" t="n">
        <v>8</v>
      </c>
      <c r="L45" s="48" t="n">
        <v>8</v>
      </c>
      <c r="M45" s="49">
        <f>IF(COUNT(C45:L45)=0,"",SUM(C45:L45))</f>
        <v/>
      </c>
      <c r="N45" s="50">
        <f>IF(M45="","",M45/100)</f>
        <v/>
      </c>
      <c r="O45" s="51">
        <f>IF(M45="","",IF(M45&lt;50,"ضعيف",IF(M45&lt;75,"متوسط","ممتاز")))</f>
        <v/>
      </c>
    </row>
    <row r="46" ht="18" customHeight="1">
      <c r="A46" s="30" t="n">
        <v>41</v>
      </c>
      <c r="B46" s="31">
        <f>'قاعدة الأسماء'!B45</f>
        <v/>
      </c>
      <c r="C46" s="32" t="n">
        <v>8</v>
      </c>
      <c r="D46" s="32" t="n">
        <v>8</v>
      </c>
      <c r="E46" s="32" t="n">
        <v>7</v>
      </c>
      <c r="F46" s="32" t="n">
        <v>8</v>
      </c>
      <c r="G46" s="32" t="n">
        <v>8</v>
      </c>
      <c r="H46" s="32" t="n">
        <v>7</v>
      </c>
      <c r="I46" s="32" t="n">
        <v>7</v>
      </c>
      <c r="J46" s="32" t="n">
        <v>7</v>
      </c>
      <c r="K46" s="32" t="n">
        <v>7</v>
      </c>
      <c r="L46" s="32" t="n">
        <v>9</v>
      </c>
      <c r="M46" s="43">
        <f>IF(COUNT(C46:L46)=0,"",SUM(C46:L46))</f>
        <v/>
      </c>
      <c r="N46" s="44">
        <f>IF(M46="","",M46/100)</f>
        <v/>
      </c>
      <c r="O46" s="45">
        <f>IF(M46="","",IF(M46&lt;50,"ضعيف",IF(M46&lt;75,"متوسط","ممتاز")))</f>
        <v/>
      </c>
    </row>
    <row r="47" ht="18" customHeight="1">
      <c r="A47" s="46" t="n">
        <v>42</v>
      </c>
      <c r="B47" s="47">
        <f>'قاعدة الأسماء'!B46</f>
        <v/>
      </c>
      <c r="C47" s="48" t="n">
        <v>9</v>
      </c>
      <c r="D47" s="48" t="n">
        <v>8</v>
      </c>
      <c r="E47" s="48" t="n">
        <v>7</v>
      </c>
      <c r="F47" s="48" t="n">
        <v>9</v>
      </c>
      <c r="G47" s="48" t="n">
        <v>9</v>
      </c>
      <c r="H47" s="48" t="n">
        <v>9</v>
      </c>
      <c r="I47" s="48" t="n">
        <v>7</v>
      </c>
      <c r="J47" s="48" t="n">
        <v>7</v>
      </c>
      <c r="K47" s="48" t="n">
        <v>9</v>
      </c>
      <c r="L47" s="48" t="n">
        <v>8</v>
      </c>
      <c r="M47" s="49">
        <f>IF(COUNT(C47:L47)=0,"",SUM(C47:L47))</f>
        <v/>
      </c>
      <c r="N47" s="50">
        <f>IF(M47="","",M47/100)</f>
        <v/>
      </c>
      <c r="O47" s="51">
        <f>IF(M47="","",IF(M47&lt;50,"ضعيف",IF(M47&lt;75,"متوسط","ممتاز")))</f>
        <v/>
      </c>
    </row>
    <row r="48" ht="18" customHeight="1">
      <c r="A48" s="30" t="n">
        <v>43</v>
      </c>
      <c r="B48" s="31">
        <f>'قاعدة الأسماء'!B47</f>
        <v/>
      </c>
      <c r="C48" s="32" t="n">
        <v>8</v>
      </c>
      <c r="D48" s="32" t="n">
        <v>8</v>
      </c>
      <c r="E48" s="32" t="n">
        <v>9</v>
      </c>
      <c r="F48" s="32" t="n">
        <v>7</v>
      </c>
      <c r="G48" s="32" t="n">
        <v>9</v>
      </c>
      <c r="H48" s="32" t="n">
        <v>8</v>
      </c>
      <c r="I48" s="32" t="n">
        <v>8</v>
      </c>
      <c r="J48" s="32" t="n">
        <v>8</v>
      </c>
      <c r="K48" s="32" t="n">
        <v>8</v>
      </c>
      <c r="L48" s="32" t="n">
        <v>8</v>
      </c>
      <c r="M48" s="43">
        <f>IF(COUNT(C48:L48)=0,"",SUM(C48:L48))</f>
        <v/>
      </c>
      <c r="N48" s="44">
        <f>IF(M48="","",M48/100)</f>
        <v/>
      </c>
      <c r="O48" s="45">
        <f>IF(M48="","",IF(M48&lt;50,"ضعيف",IF(M48&lt;75,"متوسط","ممتاز")))</f>
        <v/>
      </c>
    </row>
    <row r="49" ht="18" customHeight="1">
      <c r="A49" s="46" t="n">
        <v>44</v>
      </c>
      <c r="B49" s="47">
        <f>'قاعدة الأسماء'!B48</f>
        <v/>
      </c>
      <c r="C49" s="48" t="n">
        <v>8</v>
      </c>
      <c r="D49" s="48" t="n">
        <v>8</v>
      </c>
      <c r="E49" s="48" t="n">
        <v>7</v>
      </c>
      <c r="F49" s="48" t="n">
        <v>6</v>
      </c>
      <c r="G49" s="48" t="n">
        <v>7</v>
      </c>
      <c r="H49" s="48" t="n">
        <v>9</v>
      </c>
      <c r="I49" s="48" t="n">
        <v>9</v>
      </c>
      <c r="J49" s="48" t="n">
        <v>8</v>
      </c>
      <c r="K49" s="48" t="n">
        <v>7</v>
      </c>
      <c r="L49" s="48" t="n">
        <v>8</v>
      </c>
      <c r="M49" s="49">
        <f>IF(COUNT(C49:L49)=0,"",SUM(C49:L49))</f>
        <v/>
      </c>
      <c r="N49" s="50">
        <f>IF(M49="","",M49/100)</f>
        <v/>
      </c>
      <c r="O49" s="51">
        <f>IF(M49="","",IF(M49&lt;50,"ضعيف",IF(M49&lt;75,"متوسط","ممتاز")))</f>
        <v/>
      </c>
    </row>
    <row r="50" ht="18" customHeight="1">
      <c r="A50" s="30" t="n">
        <v>45</v>
      </c>
      <c r="B50" s="31">
        <f>'قاعدة الأسماء'!B49</f>
        <v/>
      </c>
      <c r="C50" s="32" t="n">
        <v>9</v>
      </c>
      <c r="D50" s="32" t="n">
        <v>8</v>
      </c>
      <c r="E50" s="32" t="n">
        <v>6</v>
      </c>
      <c r="F50" s="32" t="n">
        <v>7</v>
      </c>
      <c r="G50" s="32" t="n">
        <v>9</v>
      </c>
      <c r="H50" s="32" t="n">
        <v>8</v>
      </c>
      <c r="I50" s="32" t="n">
        <v>9</v>
      </c>
      <c r="J50" s="32" t="n">
        <v>9</v>
      </c>
      <c r="K50" s="32" t="n">
        <v>9</v>
      </c>
      <c r="L50" s="32" t="n">
        <v>7</v>
      </c>
      <c r="M50" s="43">
        <f>IF(COUNT(C50:L50)=0,"",SUM(C50:L50))</f>
        <v/>
      </c>
      <c r="N50" s="44">
        <f>IF(M50="","",M50/100)</f>
        <v/>
      </c>
      <c r="O50" s="45">
        <f>IF(M50="","",IF(M50&lt;50,"ضعيف",IF(M50&lt;75,"متوسط","ممتاز")))</f>
        <v/>
      </c>
    </row>
    <row r="51" ht="18" customHeight="1">
      <c r="A51" s="46" t="n">
        <v>46</v>
      </c>
      <c r="B51" s="47">
        <f>'قاعدة الأسماء'!B50</f>
        <v/>
      </c>
      <c r="C51" s="48" t="n">
        <v>8</v>
      </c>
      <c r="D51" s="48" t="n">
        <v>8</v>
      </c>
      <c r="E51" s="48" t="n">
        <v>7</v>
      </c>
      <c r="F51" s="48" t="n">
        <v>7</v>
      </c>
      <c r="G51" s="48" t="n">
        <v>7</v>
      </c>
      <c r="H51" s="48" t="n">
        <v>8</v>
      </c>
      <c r="I51" s="48" t="n">
        <v>9</v>
      </c>
      <c r="J51" s="48" t="n">
        <v>9</v>
      </c>
      <c r="K51" s="48" t="n">
        <v>7</v>
      </c>
      <c r="L51" s="48" t="n">
        <v>8</v>
      </c>
      <c r="M51" s="49">
        <f>IF(COUNT(C51:L51)=0,"",SUM(C51:L51))</f>
        <v/>
      </c>
      <c r="N51" s="50">
        <f>IF(M51="","",M51/100)</f>
        <v/>
      </c>
      <c r="O51" s="51">
        <f>IF(M51="","",IF(M51&lt;50,"ضعيف",IF(M51&lt;75,"متوسط","ممتاز")))</f>
        <v/>
      </c>
    </row>
    <row r="52" ht="18" customHeight="1">
      <c r="A52" s="30" t="n">
        <v>47</v>
      </c>
      <c r="B52" s="31">
        <f>'قاعدة الأسماء'!B51</f>
        <v/>
      </c>
      <c r="C52" s="32" t="n">
        <v>8</v>
      </c>
      <c r="D52" s="32" t="n">
        <v>8</v>
      </c>
      <c r="E52" s="32" t="n">
        <v>8</v>
      </c>
      <c r="F52" s="32" t="n">
        <v>7</v>
      </c>
      <c r="G52" s="32" t="n">
        <v>7</v>
      </c>
      <c r="H52" s="32" t="n">
        <v>7</v>
      </c>
      <c r="I52" s="32" t="n">
        <v>8</v>
      </c>
      <c r="J52" s="32" t="n">
        <v>7</v>
      </c>
      <c r="K52" s="32" t="n">
        <v>9</v>
      </c>
      <c r="L52" s="32" t="n">
        <v>8</v>
      </c>
      <c r="M52" s="43">
        <f>IF(COUNT(C52:L52)=0,"",SUM(C52:L52))</f>
        <v/>
      </c>
      <c r="N52" s="44">
        <f>IF(M52="","",M52/100)</f>
        <v/>
      </c>
      <c r="O52" s="45">
        <f>IF(M52="","",IF(M52&lt;50,"ضعيف",IF(M52&lt;75,"متوسط","ممتاز")))</f>
        <v/>
      </c>
    </row>
    <row r="53" ht="18" customHeight="1">
      <c r="A53" s="46" t="n">
        <v>48</v>
      </c>
      <c r="B53" s="47">
        <f>'قاعدة الأسماء'!B52</f>
        <v/>
      </c>
      <c r="C53" s="48" t="n">
        <v>9</v>
      </c>
      <c r="D53" s="48" t="n">
        <v>9</v>
      </c>
      <c r="E53" s="48" t="n">
        <v>9</v>
      </c>
      <c r="F53" s="48" t="n">
        <v>8</v>
      </c>
      <c r="G53" s="48" t="n">
        <v>8</v>
      </c>
      <c r="H53" s="48" t="n">
        <v>8</v>
      </c>
      <c r="I53" s="48" t="n">
        <v>8</v>
      </c>
      <c r="J53" s="48" t="n">
        <v>8</v>
      </c>
      <c r="K53" s="48" t="n">
        <v>9</v>
      </c>
      <c r="L53" s="48" t="n">
        <v>8</v>
      </c>
      <c r="M53" s="49">
        <f>IF(COUNT(C53:L53)=0,"",SUM(C53:L53))</f>
        <v/>
      </c>
      <c r="N53" s="50">
        <f>IF(M53="","",M53/100)</f>
        <v/>
      </c>
      <c r="O53" s="51">
        <f>IF(M53="","",IF(M53&lt;50,"ضعيف",IF(M53&lt;75,"متوسط","ممتاز")))</f>
        <v/>
      </c>
    </row>
    <row r="54" ht="18" customHeight="1">
      <c r="A54" s="30" t="n">
        <v>49</v>
      </c>
      <c r="B54" s="31">
        <f>'قاعدة الأسماء'!B53</f>
        <v/>
      </c>
      <c r="C54" s="32" t="n">
        <v>8</v>
      </c>
      <c r="D54" s="32" t="n">
        <v>8</v>
      </c>
      <c r="E54" s="32" t="n">
        <v>8</v>
      </c>
      <c r="F54" s="32" t="n">
        <v>8</v>
      </c>
      <c r="G54" s="32" t="n">
        <v>9</v>
      </c>
      <c r="H54" s="32" t="n">
        <v>7</v>
      </c>
      <c r="I54" s="32" t="n">
        <v>8</v>
      </c>
      <c r="J54" s="32" t="n">
        <v>8</v>
      </c>
      <c r="K54" s="32" t="n">
        <v>9</v>
      </c>
      <c r="L54" s="32" t="n">
        <v>8</v>
      </c>
      <c r="M54" s="43">
        <f>IF(COUNT(C54:L54)=0,"",SUM(C54:L54))</f>
        <v/>
      </c>
      <c r="N54" s="44">
        <f>IF(M54="","",M54/100)</f>
        <v/>
      </c>
      <c r="O54" s="45">
        <f>IF(M54="","",IF(M54&lt;50,"ضعيف",IF(M54&lt;75,"متوسط","ممتاز")))</f>
        <v/>
      </c>
    </row>
    <row r="55" ht="18" customHeight="1">
      <c r="A55" s="46" t="n">
        <v>50</v>
      </c>
      <c r="B55" s="47">
        <f>'قاعدة الأسماء'!B54</f>
        <v/>
      </c>
      <c r="C55" s="48" t="n">
        <v>8</v>
      </c>
      <c r="D55" s="48" t="n">
        <v>8</v>
      </c>
      <c r="E55" s="48" t="n">
        <v>8</v>
      </c>
      <c r="F55" s="48" t="n">
        <v>8</v>
      </c>
      <c r="G55" s="48" t="n">
        <v>8</v>
      </c>
      <c r="H55" s="48" t="n">
        <v>9</v>
      </c>
      <c r="I55" s="48" t="n">
        <v>8</v>
      </c>
      <c r="J55" s="48" t="n">
        <v>9</v>
      </c>
      <c r="K55" s="48" t="n">
        <v>9</v>
      </c>
      <c r="L55" s="48" t="n">
        <v>9</v>
      </c>
      <c r="M55" s="49">
        <f>IF(COUNT(C55:L55)=0,"",SUM(C55:L55))</f>
        <v/>
      </c>
      <c r="N55" s="50">
        <f>IF(M55="","",M55/100)</f>
        <v/>
      </c>
      <c r="O55" s="51">
        <f>IF(M55="","",IF(M55&lt;50,"ضعيف",IF(M55&lt;75,"متوسط","ممتاز")))</f>
        <v/>
      </c>
    </row>
    <row r="56" ht="18" customHeight="1">
      <c r="A56" s="30" t="n">
        <v>51</v>
      </c>
      <c r="B56" s="31">
        <f>'قاعدة الأسماء'!B55</f>
        <v/>
      </c>
      <c r="C56" s="32" t="n">
        <v>7</v>
      </c>
      <c r="D56" s="32" t="n">
        <v>7</v>
      </c>
      <c r="E56" s="32" t="n">
        <v>5</v>
      </c>
      <c r="F56" s="32" t="n">
        <v>6</v>
      </c>
      <c r="G56" s="32" t="n">
        <v>7</v>
      </c>
      <c r="H56" s="32" t="n">
        <v>6</v>
      </c>
      <c r="I56" s="32" t="n">
        <v>8</v>
      </c>
      <c r="J56" s="32" t="n">
        <v>7</v>
      </c>
      <c r="K56" s="32" t="n">
        <v>7</v>
      </c>
      <c r="L56" s="32" t="n">
        <v>7</v>
      </c>
      <c r="M56" s="43">
        <f>IF(COUNT(C56:L56)=0,"",SUM(C56:L56))</f>
        <v/>
      </c>
      <c r="N56" s="44">
        <f>IF(M56="","",M56/100)</f>
        <v/>
      </c>
      <c r="O56" s="45">
        <f>IF(M56="","",IF(M56&lt;50,"ضعيف",IF(M56&lt;75,"متوسط","ممتاز")))</f>
        <v/>
      </c>
    </row>
    <row r="57" ht="18" customHeight="1">
      <c r="A57" s="46" t="n">
        <v>52</v>
      </c>
      <c r="B57" s="47">
        <f>'قاعدة الأسماء'!B56</f>
        <v/>
      </c>
      <c r="C57" s="48" t="n">
        <v>9</v>
      </c>
      <c r="D57" s="48" t="n">
        <v>8</v>
      </c>
      <c r="E57" s="48" t="n">
        <v>7</v>
      </c>
      <c r="F57" s="48" t="n">
        <v>7</v>
      </c>
      <c r="G57" s="48" t="n">
        <v>8</v>
      </c>
      <c r="H57" s="48" t="n">
        <v>8</v>
      </c>
      <c r="I57" s="48" t="n">
        <v>9</v>
      </c>
      <c r="J57" s="48" t="n">
        <v>9</v>
      </c>
      <c r="K57" s="48" t="n">
        <v>8</v>
      </c>
      <c r="L57" s="48" t="n">
        <v>7</v>
      </c>
      <c r="M57" s="49">
        <f>IF(COUNT(C57:L57)=0,"",SUM(C57:L57))</f>
        <v/>
      </c>
      <c r="N57" s="50">
        <f>IF(M57="","",M57/100)</f>
        <v/>
      </c>
      <c r="O57" s="51">
        <f>IF(M57="","",IF(M57&lt;50,"ضعيف",IF(M57&lt;75,"متوسط","ممتاز")))</f>
        <v/>
      </c>
    </row>
    <row r="58" ht="18" customHeight="1">
      <c r="A58" s="30" t="n">
        <v>53</v>
      </c>
      <c r="B58" s="31">
        <f>'قاعدة الأسماء'!B57</f>
        <v/>
      </c>
      <c r="C58" s="32" t="n">
        <v>8</v>
      </c>
      <c r="D58" s="32" t="n">
        <v>9</v>
      </c>
      <c r="E58" s="32" t="n">
        <v>8</v>
      </c>
      <c r="F58" s="32" t="n">
        <v>9</v>
      </c>
      <c r="G58" s="32" t="n">
        <v>9</v>
      </c>
      <c r="H58" s="32" t="n">
        <v>8</v>
      </c>
      <c r="I58" s="32" t="n">
        <v>9</v>
      </c>
      <c r="J58" s="32" t="n">
        <v>9</v>
      </c>
      <c r="K58" s="32" t="n">
        <v>8</v>
      </c>
      <c r="L58" s="32" t="n">
        <v>9</v>
      </c>
      <c r="M58" s="43">
        <f>IF(COUNT(C58:L58)=0,"",SUM(C58:L58))</f>
        <v/>
      </c>
      <c r="N58" s="44">
        <f>IF(M58="","",M58/100)</f>
        <v/>
      </c>
      <c r="O58" s="45">
        <f>IF(M58="","",IF(M58&lt;50,"ضعيف",IF(M58&lt;75,"متوسط","ممتاز")))</f>
        <v/>
      </c>
    </row>
    <row r="59" ht="18" customHeight="1">
      <c r="A59" s="46" t="n">
        <v>54</v>
      </c>
      <c r="B59" s="47">
        <f>'قاعدة الأسماء'!B58</f>
        <v/>
      </c>
      <c r="C59" s="48" t="n">
        <v>8</v>
      </c>
      <c r="D59" s="48" t="n">
        <v>8</v>
      </c>
      <c r="E59" s="48" t="n">
        <v>7</v>
      </c>
      <c r="F59" s="48" t="n">
        <v>5</v>
      </c>
      <c r="G59" s="48" t="n">
        <v>8</v>
      </c>
      <c r="H59" s="48" t="n">
        <v>7</v>
      </c>
      <c r="I59" s="48" t="n">
        <v>9</v>
      </c>
      <c r="J59" s="48" t="n">
        <v>8</v>
      </c>
      <c r="K59" s="48" t="n">
        <v>8</v>
      </c>
      <c r="L59" s="48" t="n">
        <v>8</v>
      </c>
      <c r="M59" s="49">
        <f>IF(COUNT(C59:L59)=0,"",SUM(C59:L59))</f>
        <v/>
      </c>
      <c r="N59" s="50">
        <f>IF(M59="","",M59/100)</f>
        <v/>
      </c>
      <c r="O59" s="51">
        <f>IF(M59="","",IF(M59&lt;50,"ضعيف",IF(M59&lt;75,"متوسط","ممتاز")))</f>
        <v/>
      </c>
    </row>
    <row r="60" ht="18" customHeight="1">
      <c r="A60" s="30" t="n">
        <v>55</v>
      </c>
      <c r="B60" s="31">
        <f>'قاعدة الأسماء'!B59</f>
        <v/>
      </c>
      <c r="C60" s="32" t="n">
        <v>8</v>
      </c>
      <c r="D60" s="32" t="n">
        <v>9</v>
      </c>
      <c r="E60" s="32" t="n">
        <v>7</v>
      </c>
      <c r="F60" s="32" t="n">
        <v>7</v>
      </c>
      <c r="G60" s="32" t="n">
        <v>8</v>
      </c>
      <c r="H60" s="32" t="n">
        <v>6</v>
      </c>
      <c r="I60" s="32" t="n">
        <v>9</v>
      </c>
      <c r="J60" s="32" t="n">
        <v>8</v>
      </c>
      <c r="K60" s="32" t="n">
        <v>6</v>
      </c>
      <c r="L60" s="32" t="n">
        <v>8</v>
      </c>
      <c r="M60" s="43">
        <f>IF(COUNT(C60:L60)=0,"",SUM(C60:L60))</f>
        <v/>
      </c>
      <c r="N60" s="44">
        <f>IF(M60="","",M60/100)</f>
        <v/>
      </c>
      <c r="O60" s="45">
        <f>IF(M60="","",IF(M60&lt;50,"ضعيف",IF(M60&lt;75,"متوسط","ممتاز")))</f>
        <v/>
      </c>
    </row>
    <row r="61" ht="18" customHeight="1">
      <c r="A61" s="46" t="n">
        <v>56</v>
      </c>
      <c r="B61" s="47">
        <f>'قاعدة الأسماء'!B60</f>
        <v/>
      </c>
      <c r="C61" s="48" t="n">
        <v>8</v>
      </c>
      <c r="D61" s="48" t="n">
        <v>9</v>
      </c>
      <c r="E61" s="48" t="n">
        <v>7</v>
      </c>
      <c r="F61" s="48" t="n">
        <v>6</v>
      </c>
      <c r="G61" s="48" t="n">
        <v>8</v>
      </c>
      <c r="H61" s="48" t="n">
        <v>8</v>
      </c>
      <c r="I61" s="48" t="n">
        <v>8</v>
      </c>
      <c r="J61" s="48" t="n">
        <v>9</v>
      </c>
      <c r="K61" s="48" t="n">
        <v>8</v>
      </c>
      <c r="L61" s="48" t="n">
        <v>8</v>
      </c>
      <c r="M61" s="49">
        <f>IF(COUNT(C61:L61)=0,"",SUM(C61:L61))</f>
        <v/>
      </c>
      <c r="N61" s="50">
        <f>IF(M61="","",M61/100)</f>
        <v/>
      </c>
      <c r="O61" s="51">
        <f>IF(M61="","",IF(M61&lt;50,"ضعيف",IF(M61&lt;75,"متوسط","ممتاز")))</f>
        <v/>
      </c>
    </row>
    <row r="62" ht="18" customHeight="1">
      <c r="A62" s="30" t="n">
        <v>57</v>
      </c>
      <c r="B62" s="31">
        <f>'قاعدة الأسماء'!B61</f>
        <v/>
      </c>
      <c r="C62" s="32" t="n">
        <v>9</v>
      </c>
      <c r="D62" s="32" t="n">
        <v>8</v>
      </c>
      <c r="E62" s="32" t="n">
        <v>6</v>
      </c>
      <c r="F62" s="32" t="n">
        <v>7</v>
      </c>
      <c r="G62" s="32" t="n">
        <v>8</v>
      </c>
      <c r="H62" s="32" t="n">
        <v>7</v>
      </c>
      <c r="I62" s="32" t="n">
        <v>8</v>
      </c>
      <c r="J62" s="32" t="n">
        <v>8</v>
      </c>
      <c r="K62" s="32" t="n">
        <v>8</v>
      </c>
      <c r="L62" s="32" t="n">
        <v>8</v>
      </c>
      <c r="M62" s="43">
        <f>IF(COUNT(C62:L62)=0,"",SUM(C62:L62))</f>
        <v/>
      </c>
      <c r="N62" s="44">
        <f>IF(M62="","",M62/100)</f>
        <v/>
      </c>
      <c r="O62" s="45">
        <f>IF(M62="","",IF(M62&lt;50,"ضعيف",IF(M62&lt;75,"متوسط","ممتاز")))</f>
        <v/>
      </c>
    </row>
    <row r="63" ht="18" customHeight="1">
      <c r="A63" s="46" t="n">
        <v>58</v>
      </c>
      <c r="B63" s="47">
        <f>'قاعدة الأسماء'!B62</f>
        <v/>
      </c>
      <c r="C63" s="48" t="n">
        <v>8</v>
      </c>
      <c r="D63" s="48" t="n">
        <v>8</v>
      </c>
      <c r="E63" s="48" t="n">
        <v>6</v>
      </c>
      <c r="F63" s="48" t="n">
        <v>9</v>
      </c>
      <c r="G63" s="48" t="n">
        <v>9</v>
      </c>
      <c r="H63" s="48" t="n">
        <v>8</v>
      </c>
      <c r="I63" s="48" t="n">
        <v>8</v>
      </c>
      <c r="J63" s="48" t="n">
        <v>7</v>
      </c>
      <c r="K63" s="48" t="n">
        <v>8</v>
      </c>
      <c r="L63" s="48" t="n">
        <v>7</v>
      </c>
      <c r="M63" s="49">
        <f>IF(COUNT(C63:L63)=0,"",SUM(C63:L63))</f>
        <v/>
      </c>
      <c r="N63" s="50">
        <f>IF(M63="","",M63/100)</f>
        <v/>
      </c>
      <c r="O63" s="51">
        <f>IF(M63="","",IF(M63&lt;50,"ضعيف",IF(M63&lt;75,"متوسط","ممتاز")))</f>
        <v/>
      </c>
    </row>
    <row r="64" ht="18" customHeight="1">
      <c r="A64" s="30" t="n">
        <v>59</v>
      </c>
      <c r="B64" s="31">
        <f>'قاعدة الأسماء'!B63</f>
        <v/>
      </c>
      <c r="C64" s="32" t="n">
        <v>8</v>
      </c>
      <c r="D64" s="32" t="n">
        <v>7</v>
      </c>
      <c r="E64" s="32" t="n">
        <v>6</v>
      </c>
      <c r="F64" s="32" t="n">
        <v>7</v>
      </c>
      <c r="G64" s="32" t="n">
        <v>9</v>
      </c>
      <c r="H64" s="32" t="n">
        <v>8</v>
      </c>
      <c r="I64" s="32" t="n">
        <v>7</v>
      </c>
      <c r="J64" s="32" t="n">
        <v>7</v>
      </c>
      <c r="K64" s="32" t="n">
        <v>8</v>
      </c>
      <c r="L64" s="32" t="n">
        <v>6</v>
      </c>
      <c r="M64" s="43">
        <f>IF(COUNT(C64:L64)=0,"",SUM(C64:L64))</f>
        <v/>
      </c>
      <c r="N64" s="44">
        <f>IF(M64="","",M64/100)</f>
        <v/>
      </c>
      <c r="O64" s="45">
        <f>IF(M64="","",IF(M64&lt;50,"ضعيف",IF(M64&lt;75,"متوسط","ممتاز")))</f>
        <v/>
      </c>
    </row>
    <row r="65" ht="18" customHeight="1">
      <c r="A65" s="46" t="n">
        <v>60</v>
      </c>
      <c r="B65" s="47">
        <f>'قاعدة الأسماء'!B64</f>
        <v/>
      </c>
      <c r="C65" s="48" t="n">
        <v>8</v>
      </c>
      <c r="D65" s="48" t="n">
        <v>9</v>
      </c>
      <c r="E65" s="48" t="n">
        <v>6</v>
      </c>
      <c r="F65" s="48" t="n">
        <v>8</v>
      </c>
      <c r="G65" s="48" t="n">
        <v>8</v>
      </c>
      <c r="H65" s="48" t="n">
        <v>8</v>
      </c>
      <c r="I65" s="48" t="n">
        <v>8</v>
      </c>
      <c r="J65" s="48" t="n">
        <v>8</v>
      </c>
      <c r="K65" s="48" t="n">
        <v>8</v>
      </c>
      <c r="L65" s="48" t="n">
        <v>9</v>
      </c>
      <c r="M65" s="49">
        <f>IF(COUNT(C65:L65)=0,"",SUM(C65:L65))</f>
        <v/>
      </c>
      <c r="N65" s="50">
        <f>IF(M65="","",M65/100)</f>
        <v/>
      </c>
      <c r="O65" s="51">
        <f>IF(M65="","",IF(M65&lt;50,"ضعيف",IF(M65&lt;75,"متوسط","ممتاز")))</f>
        <v/>
      </c>
    </row>
    <row r="66" ht="18" customHeight="1">
      <c r="A66" s="30" t="n">
        <v>61</v>
      </c>
      <c r="B66" s="31">
        <f>'قاعدة الأسماء'!B65</f>
        <v/>
      </c>
      <c r="C66" s="32" t="n">
        <v>7</v>
      </c>
      <c r="D66" s="32" t="n">
        <v>8</v>
      </c>
      <c r="E66" s="32" t="n">
        <v>7</v>
      </c>
      <c r="F66" s="32" t="n">
        <v>8</v>
      </c>
      <c r="G66" s="32" t="n">
        <v>7</v>
      </c>
      <c r="H66" s="32" t="n">
        <v>8</v>
      </c>
      <c r="I66" s="32" t="n">
        <v>8</v>
      </c>
      <c r="J66" s="32" t="n">
        <v>8</v>
      </c>
      <c r="K66" s="32" t="n">
        <v>8</v>
      </c>
      <c r="L66" s="32" t="n">
        <v>9</v>
      </c>
      <c r="M66" s="43">
        <f>IF(COUNT(C66:L66)=0,"",SUM(C66:L66))</f>
        <v/>
      </c>
      <c r="N66" s="44">
        <f>IF(M66="","",M66/100)</f>
        <v/>
      </c>
      <c r="O66" s="45">
        <f>IF(M66="","",IF(M66&lt;50,"ضعيف",IF(M66&lt;75,"متوسط","ممتاز")))</f>
        <v/>
      </c>
    </row>
    <row r="67" ht="18" customHeight="1">
      <c r="A67" s="46" t="n">
        <v>62</v>
      </c>
      <c r="B67" s="47">
        <f>'قاعدة الأسماء'!B66</f>
        <v/>
      </c>
      <c r="C67" s="48" t="n">
        <v>8</v>
      </c>
      <c r="D67" s="48" t="n">
        <v>8</v>
      </c>
      <c r="E67" s="48" t="n">
        <v>9</v>
      </c>
      <c r="F67" s="48" t="n">
        <v>7</v>
      </c>
      <c r="G67" s="48" t="n">
        <v>8</v>
      </c>
      <c r="H67" s="48" t="n">
        <v>8</v>
      </c>
      <c r="I67" s="48" t="n">
        <v>8</v>
      </c>
      <c r="J67" s="48" t="n">
        <v>7</v>
      </c>
      <c r="K67" s="48" t="n">
        <v>9</v>
      </c>
      <c r="L67" s="48" t="n">
        <v>8</v>
      </c>
      <c r="M67" s="49">
        <f>IF(COUNT(C67:L67)=0,"",SUM(C67:L67))</f>
        <v/>
      </c>
      <c r="N67" s="50">
        <f>IF(M67="","",M67/100)</f>
        <v/>
      </c>
      <c r="O67" s="51">
        <f>IF(M67="","",IF(M67&lt;50,"ضعيف",IF(M67&lt;75,"متوسط","ممتاز")))</f>
        <v/>
      </c>
    </row>
    <row r="68" ht="18" customHeight="1">
      <c r="A68" s="30" t="n">
        <v>63</v>
      </c>
      <c r="B68" s="31">
        <f>'قاعدة الأسماء'!B67</f>
        <v/>
      </c>
      <c r="C68" s="32" t="n">
        <v>7</v>
      </c>
      <c r="D68" s="32" t="n">
        <v>9</v>
      </c>
      <c r="E68" s="32" t="n">
        <v>9</v>
      </c>
      <c r="F68" s="32" t="n">
        <v>7</v>
      </c>
      <c r="G68" s="32" t="n">
        <v>7</v>
      </c>
      <c r="H68" s="32" t="n">
        <v>8</v>
      </c>
      <c r="I68" s="32" t="n">
        <v>9</v>
      </c>
      <c r="J68" s="32" t="n">
        <v>8</v>
      </c>
      <c r="K68" s="32" t="n">
        <v>9</v>
      </c>
      <c r="L68" s="32" t="n">
        <v>8</v>
      </c>
      <c r="M68" s="43">
        <f>IF(COUNT(C68:L68)=0,"",SUM(C68:L68))</f>
        <v/>
      </c>
      <c r="N68" s="44">
        <f>IF(M68="","",M68/100)</f>
        <v/>
      </c>
      <c r="O68" s="45">
        <f>IF(M68="","",IF(M68&lt;50,"ضعيف",IF(M68&lt;75,"متوسط","ممتاز")))</f>
        <v/>
      </c>
    </row>
    <row r="69" ht="18" customHeight="1">
      <c r="A69" s="46" t="n">
        <v>64</v>
      </c>
      <c r="B69" s="47">
        <f>'قاعدة الأسماء'!B68</f>
        <v/>
      </c>
      <c r="C69" s="48" t="n">
        <v>8</v>
      </c>
      <c r="D69" s="48" t="n">
        <v>8</v>
      </c>
      <c r="E69" s="48" t="n">
        <v>7</v>
      </c>
      <c r="F69" s="48" t="n">
        <v>8</v>
      </c>
      <c r="G69" s="48" t="n">
        <v>8</v>
      </c>
      <c r="H69" s="48" t="n">
        <v>7</v>
      </c>
      <c r="I69" s="48" t="n">
        <v>8</v>
      </c>
      <c r="J69" s="48" t="n">
        <v>8</v>
      </c>
      <c r="K69" s="48" t="n">
        <v>9</v>
      </c>
      <c r="L69" s="48" t="n">
        <v>8</v>
      </c>
      <c r="M69" s="49">
        <f>IF(COUNT(C69:L69)=0,"",SUM(C69:L69))</f>
        <v/>
      </c>
      <c r="N69" s="50">
        <f>IF(M69="","",M69/100)</f>
        <v/>
      </c>
      <c r="O69" s="51">
        <f>IF(M69="","",IF(M69&lt;50,"ضعيف",IF(M69&lt;75,"متوسط","ممتاز")))</f>
        <v/>
      </c>
    </row>
    <row r="70" ht="18" customHeight="1">
      <c r="A70" s="30" t="n">
        <v>65</v>
      </c>
      <c r="B70" s="31">
        <f>'قاعدة الأسماء'!B69</f>
        <v/>
      </c>
      <c r="C70" s="32" t="n">
        <v>7</v>
      </c>
      <c r="D70" s="32" t="n">
        <v>8</v>
      </c>
      <c r="E70" s="32" t="n">
        <v>9</v>
      </c>
      <c r="F70" s="32" t="n">
        <v>8</v>
      </c>
      <c r="G70" s="32" t="n">
        <v>7</v>
      </c>
      <c r="H70" s="32" t="n">
        <v>7</v>
      </c>
      <c r="I70" s="32" t="n">
        <v>9</v>
      </c>
      <c r="J70" s="32" t="n">
        <v>7</v>
      </c>
      <c r="K70" s="32" t="n">
        <v>9</v>
      </c>
      <c r="L70" s="32" t="n">
        <v>6</v>
      </c>
      <c r="M70" s="43">
        <f>IF(COUNT(C70:L70)=0,"",SUM(C70:L70))</f>
        <v/>
      </c>
      <c r="N70" s="44">
        <f>IF(M70="","",M70/100)</f>
        <v/>
      </c>
      <c r="O70" s="45">
        <f>IF(M70="","",IF(M70&lt;50,"ضعيف",IF(M70&lt;75,"متوسط","ممتاز")))</f>
        <v/>
      </c>
    </row>
    <row r="71" ht="18" customHeight="1">
      <c r="A71" s="46" t="n">
        <v>66</v>
      </c>
      <c r="B71" s="47">
        <f>'قاعدة الأسماء'!B70</f>
        <v/>
      </c>
      <c r="C71" s="48" t="n">
        <v>8</v>
      </c>
      <c r="D71" s="48" t="n">
        <v>8</v>
      </c>
      <c r="E71" s="48" t="n">
        <v>8</v>
      </c>
      <c r="F71" s="48" t="n">
        <v>8</v>
      </c>
      <c r="G71" s="48" t="n">
        <v>7</v>
      </c>
      <c r="H71" s="48" t="n">
        <v>8</v>
      </c>
      <c r="I71" s="48" t="n">
        <v>7</v>
      </c>
      <c r="J71" s="48" t="n">
        <v>7</v>
      </c>
      <c r="K71" s="48" t="n">
        <v>8</v>
      </c>
      <c r="L71" s="48" t="n">
        <v>7</v>
      </c>
      <c r="M71" s="49">
        <f>IF(COUNT(C71:L71)=0,"",SUM(C71:L71))</f>
        <v/>
      </c>
      <c r="N71" s="50">
        <f>IF(M71="","",M71/100)</f>
        <v/>
      </c>
      <c r="O71" s="51">
        <f>IF(M71="","",IF(M71&lt;50,"ضعيف",IF(M71&lt;75,"متوسط","ممتاز")))</f>
        <v/>
      </c>
    </row>
    <row r="72" ht="18" customHeight="1">
      <c r="A72" s="30" t="n">
        <v>67</v>
      </c>
      <c r="B72" s="31">
        <f>'قاعدة الأسماء'!B71</f>
        <v/>
      </c>
      <c r="C72" s="32" t="n">
        <v>9</v>
      </c>
      <c r="D72" s="32" t="n">
        <v>7</v>
      </c>
      <c r="E72" s="32" t="n">
        <v>8</v>
      </c>
      <c r="F72" s="32" t="n">
        <v>7</v>
      </c>
      <c r="G72" s="32" t="n">
        <v>9</v>
      </c>
      <c r="H72" s="32" t="n">
        <v>9</v>
      </c>
      <c r="I72" s="32" t="n">
        <v>8</v>
      </c>
      <c r="J72" s="32" t="n">
        <v>7</v>
      </c>
      <c r="K72" s="32" t="n">
        <v>8</v>
      </c>
      <c r="L72" s="32" t="n">
        <v>7</v>
      </c>
      <c r="M72" s="43">
        <f>IF(COUNT(C72:L72)=0,"",SUM(C72:L72))</f>
        <v/>
      </c>
      <c r="N72" s="44">
        <f>IF(M72="","",M72/100)</f>
        <v/>
      </c>
      <c r="O72" s="45">
        <f>IF(M72="","",IF(M72&lt;50,"ضعيف",IF(M72&lt;75,"متوسط","ممتاز")))</f>
        <v/>
      </c>
    </row>
    <row r="73" ht="18" customHeight="1">
      <c r="A73" s="46" t="n">
        <v>68</v>
      </c>
      <c r="B73" s="47">
        <f>'قاعدة الأسماء'!B72</f>
        <v/>
      </c>
      <c r="C73" s="48" t="n">
        <v>8</v>
      </c>
      <c r="D73" s="48" t="n">
        <v>9</v>
      </c>
      <c r="E73" s="48" t="n">
        <v>7</v>
      </c>
      <c r="F73" s="48" t="n">
        <v>8</v>
      </c>
      <c r="G73" s="48" t="n">
        <v>9</v>
      </c>
      <c r="H73" s="48" t="n">
        <v>9</v>
      </c>
      <c r="I73" s="48" t="n">
        <v>9</v>
      </c>
      <c r="J73" s="48" t="n">
        <v>9</v>
      </c>
      <c r="K73" s="48" t="n">
        <v>7</v>
      </c>
      <c r="L73" s="48" t="n">
        <v>8</v>
      </c>
      <c r="M73" s="49">
        <f>IF(COUNT(C73:L73)=0,"",SUM(C73:L73))</f>
        <v/>
      </c>
      <c r="N73" s="50">
        <f>IF(M73="","",M73/100)</f>
        <v/>
      </c>
      <c r="O73" s="51">
        <f>IF(M73="","",IF(M73&lt;50,"ضعيف",IF(M73&lt;75,"متوسط","ممتاز")))</f>
        <v/>
      </c>
    </row>
    <row r="74" ht="18" customHeight="1">
      <c r="A74" s="30" t="n">
        <v>69</v>
      </c>
      <c r="B74" s="31">
        <f>'قاعدة الأسماء'!B73</f>
        <v/>
      </c>
      <c r="C74" s="32" t="n">
        <v>8</v>
      </c>
      <c r="D74" s="32" t="n">
        <v>8</v>
      </c>
      <c r="E74" s="32" t="n">
        <v>8</v>
      </c>
      <c r="F74" s="32" t="n">
        <v>7</v>
      </c>
      <c r="G74" s="32" t="n">
        <v>8</v>
      </c>
      <c r="H74" s="32" t="n">
        <v>8</v>
      </c>
      <c r="I74" s="32" t="n">
        <v>8</v>
      </c>
      <c r="J74" s="32" t="n">
        <v>7</v>
      </c>
      <c r="K74" s="32" t="n">
        <v>7</v>
      </c>
      <c r="L74" s="32" t="n">
        <v>9</v>
      </c>
      <c r="M74" s="43">
        <f>IF(COUNT(C74:L74)=0,"",SUM(C74:L74))</f>
        <v/>
      </c>
      <c r="N74" s="44">
        <f>IF(M74="","",M74/100)</f>
        <v/>
      </c>
      <c r="O74" s="45">
        <f>IF(M74="","",IF(M74&lt;50,"ضعيف",IF(M74&lt;75,"متوسط","ممتاز")))</f>
        <v/>
      </c>
    </row>
    <row r="75" ht="18" customHeight="1">
      <c r="A75" s="46" t="n">
        <v>70</v>
      </c>
      <c r="B75" s="47">
        <f>'قاعدة الأسماء'!B74</f>
        <v/>
      </c>
      <c r="C75" s="48" t="n">
        <v>9</v>
      </c>
      <c r="D75" s="48" t="n">
        <v>9</v>
      </c>
      <c r="E75" s="48" t="n">
        <v>5</v>
      </c>
      <c r="F75" s="48" t="n">
        <v>8</v>
      </c>
      <c r="G75" s="48" t="n">
        <v>8</v>
      </c>
      <c r="H75" s="48" t="n">
        <v>7</v>
      </c>
      <c r="I75" s="48" t="n">
        <v>6</v>
      </c>
      <c r="J75" s="48" t="n">
        <v>8</v>
      </c>
      <c r="K75" s="48" t="n">
        <v>6</v>
      </c>
      <c r="L75" s="48" t="n">
        <v>6</v>
      </c>
      <c r="M75" s="49">
        <f>IF(COUNT(C75:L75)=0,"",SUM(C75:L75))</f>
        <v/>
      </c>
      <c r="N75" s="50">
        <f>IF(M75="","",M75/100)</f>
        <v/>
      </c>
      <c r="O75" s="51">
        <f>IF(M75="","",IF(M75&lt;50,"ضعيف",IF(M75&lt;75,"متوسط","ممتاز")))</f>
        <v/>
      </c>
    </row>
    <row r="76" ht="18" customHeight="1">
      <c r="A76" s="30" t="n">
        <v>71</v>
      </c>
      <c r="B76" s="31">
        <f>'قاعدة الأسماء'!B75</f>
        <v/>
      </c>
      <c r="C76" s="32" t="n">
        <v>8</v>
      </c>
      <c r="D76" s="32" t="n">
        <v>9</v>
      </c>
      <c r="E76" s="32" t="n">
        <v>9</v>
      </c>
      <c r="F76" s="32" t="n">
        <v>8</v>
      </c>
      <c r="G76" s="32" t="n">
        <v>9</v>
      </c>
      <c r="H76" s="32" t="n">
        <v>8</v>
      </c>
      <c r="I76" s="32" t="n">
        <v>9</v>
      </c>
      <c r="J76" s="32" t="n">
        <v>8</v>
      </c>
      <c r="K76" s="32" t="n">
        <v>8</v>
      </c>
      <c r="L76" s="32" t="n">
        <v>8</v>
      </c>
      <c r="M76" s="43">
        <f>IF(COUNT(C76:L76)=0,"",SUM(C76:L76))</f>
        <v/>
      </c>
      <c r="N76" s="44">
        <f>IF(M76="","",M76/100)</f>
        <v/>
      </c>
      <c r="O76" s="45">
        <f>IF(M76="","",IF(M76&lt;50,"ضعيف",IF(M76&lt;75,"متوسط","ممتاز")))</f>
        <v/>
      </c>
    </row>
    <row r="77" ht="18" customHeight="1">
      <c r="A77" s="46" t="n">
        <v>72</v>
      </c>
      <c r="B77" s="47">
        <f>'قاعدة الأسماء'!B76</f>
        <v/>
      </c>
      <c r="C77" s="48" t="n">
        <v>8</v>
      </c>
      <c r="D77" s="48" t="n">
        <v>9</v>
      </c>
      <c r="E77" s="48" t="n">
        <v>7</v>
      </c>
      <c r="F77" s="48" t="n">
        <v>9</v>
      </c>
      <c r="G77" s="48" t="n">
        <v>9</v>
      </c>
      <c r="H77" s="48" t="n">
        <v>8</v>
      </c>
      <c r="I77" s="48" t="n">
        <v>8</v>
      </c>
      <c r="J77" s="48" t="n">
        <v>9</v>
      </c>
      <c r="K77" s="48" t="n">
        <v>8</v>
      </c>
      <c r="L77" s="48" t="n">
        <v>9</v>
      </c>
      <c r="M77" s="49">
        <f>IF(COUNT(C77:L77)=0,"",SUM(C77:L77))</f>
        <v/>
      </c>
      <c r="N77" s="50">
        <f>IF(M77="","",M77/100)</f>
        <v/>
      </c>
      <c r="O77" s="51">
        <f>IF(M77="","",IF(M77&lt;50,"ضعيف",IF(M77&lt;75,"متوسط","ممتاز")))</f>
        <v/>
      </c>
    </row>
    <row r="78" ht="18" customHeight="1">
      <c r="A78" s="30" t="n">
        <v>73</v>
      </c>
      <c r="B78" s="31">
        <f>'قاعدة الأسماء'!B77</f>
        <v/>
      </c>
      <c r="C78" s="32" t="n">
        <v>9</v>
      </c>
      <c r="D78" s="32" t="n">
        <v>8</v>
      </c>
      <c r="E78" s="32" t="n">
        <v>9</v>
      </c>
      <c r="F78" s="32" t="n">
        <v>8</v>
      </c>
      <c r="G78" s="32" t="n">
        <v>7</v>
      </c>
      <c r="H78" s="32" t="n">
        <v>8</v>
      </c>
      <c r="I78" s="32" t="n">
        <v>10</v>
      </c>
      <c r="J78" s="32" t="n">
        <v>8</v>
      </c>
      <c r="K78" s="32" t="n">
        <v>8</v>
      </c>
      <c r="L78" s="32" t="n">
        <v>9</v>
      </c>
      <c r="M78" s="43">
        <f>IF(COUNT(C78:L78)=0,"",SUM(C78:L78))</f>
        <v/>
      </c>
      <c r="N78" s="44">
        <f>IF(M78="","",M78/100)</f>
        <v/>
      </c>
      <c r="O78" s="45">
        <f>IF(M78="","",IF(M78&lt;50,"ضعيف",IF(M78&lt;75,"متوسط","ممتاز")))</f>
        <v/>
      </c>
    </row>
    <row r="79" ht="18" customHeight="1">
      <c r="A79" s="46" t="n">
        <v>74</v>
      </c>
      <c r="B79" s="47">
        <f>'قاعدة الأسماء'!B78</f>
        <v/>
      </c>
      <c r="C79" s="48" t="n">
        <v>9</v>
      </c>
      <c r="D79" s="48" t="n">
        <v>8</v>
      </c>
      <c r="E79" s="48" t="n">
        <v>8</v>
      </c>
      <c r="F79" s="48" t="n">
        <v>9</v>
      </c>
      <c r="G79" s="48" t="n">
        <v>9</v>
      </c>
      <c r="H79" s="48" t="n">
        <v>8</v>
      </c>
      <c r="I79" s="48" t="n">
        <v>9</v>
      </c>
      <c r="J79" s="48" t="n">
        <v>8</v>
      </c>
      <c r="K79" s="48" t="n">
        <v>8</v>
      </c>
      <c r="L79" s="48" t="n">
        <v>8</v>
      </c>
      <c r="M79" s="49">
        <f>IF(COUNT(C79:L79)=0,"",SUM(C79:L79))</f>
        <v/>
      </c>
      <c r="N79" s="50">
        <f>IF(M79="","",M79/100)</f>
        <v/>
      </c>
      <c r="O79" s="51">
        <f>IF(M79="","",IF(M79&lt;50,"ضعيف",IF(M79&lt;75,"متوسط","ممتاز")))</f>
        <v/>
      </c>
    </row>
    <row r="80" ht="18" customHeight="1">
      <c r="A80" s="30" t="n">
        <v>75</v>
      </c>
      <c r="B80" s="31">
        <f>'قاعدة الأسماء'!B79</f>
        <v/>
      </c>
      <c r="C80" s="32" t="n">
        <v>8</v>
      </c>
      <c r="D80" s="32" t="n">
        <v>7</v>
      </c>
      <c r="E80" s="32" t="n">
        <v>7</v>
      </c>
      <c r="F80" s="32" t="n">
        <v>7</v>
      </c>
      <c r="G80" s="32" t="n">
        <v>7</v>
      </c>
      <c r="H80" s="32" t="n">
        <v>7</v>
      </c>
      <c r="I80" s="32" t="n">
        <v>9</v>
      </c>
      <c r="J80" s="32" t="n">
        <v>8</v>
      </c>
      <c r="K80" s="32" t="n">
        <v>7</v>
      </c>
      <c r="L80" s="32" t="n">
        <v>8</v>
      </c>
      <c r="M80" s="43">
        <f>IF(COUNT(C80:L80)=0,"",SUM(C80:L80))</f>
        <v/>
      </c>
      <c r="N80" s="44">
        <f>IF(M80="","",M80/100)</f>
        <v/>
      </c>
      <c r="O80" s="45">
        <f>IF(M80="","",IF(M80&lt;50,"ضعيف",IF(M80&lt;75,"متوسط","ممتاز")))</f>
        <v/>
      </c>
    </row>
    <row r="81" ht="18" customHeight="1">
      <c r="A81" s="46" t="n">
        <v>76</v>
      </c>
      <c r="B81" s="47">
        <f>'قاعدة الأسماء'!B80</f>
        <v/>
      </c>
      <c r="C81" s="48" t="n">
        <v>7</v>
      </c>
      <c r="D81" s="48" t="n">
        <v>7</v>
      </c>
      <c r="E81" s="48" t="n">
        <v>5</v>
      </c>
      <c r="F81" s="48" t="n">
        <v>4</v>
      </c>
      <c r="G81" s="48" t="n">
        <v>7</v>
      </c>
      <c r="H81" s="48" t="n">
        <v>6</v>
      </c>
      <c r="I81" s="48" t="n">
        <v>5</v>
      </c>
      <c r="J81" s="48" t="n">
        <v>7</v>
      </c>
      <c r="K81" s="48" t="n">
        <v>7</v>
      </c>
      <c r="L81" s="48" t="n">
        <v>6</v>
      </c>
      <c r="M81" s="49">
        <f>IF(COUNT(C81:L81)=0,"",SUM(C81:L81))</f>
        <v/>
      </c>
      <c r="N81" s="50">
        <f>IF(M81="","",M81/100)</f>
        <v/>
      </c>
      <c r="O81" s="51">
        <f>IF(M81="","",IF(M81&lt;50,"ضعيف",IF(M81&lt;75,"متوسط","ممتاز")))</f>
        <v/>
      </c>
    </row>
    <row r="82" ht="18" customHeight="1">
      <c r="A82" s="30" t="n">
        <v>77</v>
      </c>
      <c r="B82" s="31">
        <f>'قاعدة الأسماء'!B81</f>
        <v/>
      </c>
      <c r="C82" s="32" t="n">
        <v>9</v>
      </c>
      <c r="D82" s="32" t="n">
        <v>7</v>
      </c>
      <c r="E82" s="32" t="n">
        <v>6</v>
      </c>
      <c r="F82" s="32" t="n">
        <v>8</v>
      </c>
      <c r="G82" s="32" t="n">
        <v>8</v>
      </c>
      <c r="H82" s="32" t="n">
        <v>6</v>
      </c>
      <c r="I82" s="32" t="n">
        <v>8</v>
      </c>
      <c r="J82" s="32" t="n">
        <v>7</v>
      </c>
      <c r="K82" s="32" t="n">
        <v>6</v>
      </c>
      <c r="L82" s="32" t="n">
        <v>7</v>
      </c>
      <c r="M82" s="43">
        <f>IF(COUNT(C82:L82)=0,"",SUM(C82:L82))</f>
        <v/>
      </c>
      <c r="N82" s="44">
        <f>IF(M82="","",M82/100)</f>
        <v/>
      </c>
      <c r="O82" s="45">
        <f>IF(M82="","",IF(M82&lt;50,"ضعيف",IF(M82&lt;75,"متوسط","ممتاز")))</f>
        <v/>
      </c>
    </row>
    <row r="83" ht="18" customHeight="1">
      <c r="A83" s="46" t="n">
        <v>78</v>
      </c>
      <c r="B83" s="47">
        <f>'قاعدة الأسماء'!B82</f>
        <v/>
      </c>
      <c r="C83" s="48" t="n">
        <v>7</v>
      </c>
      <c r="D83" s="48" t="n">
        <v>5</v>
      </c>
      <c r="E83" s="48" t="n">
        <v>8</v>
      </c>
      <c r="F83" s="48" t="n">
        <v>6</v>
      </c>
      <c r="G83" s="48" t="n">
        <v>8</v>
      </c>
      <c r="H83" s="48" t="n">
        <v>6</v>
      </c>
      <c r="I83" s="48" t="n">
        <v>7</v>
      </c>
      <c r="J83" s="48" t="n">
        <v>6</v>
      </c>
      <c r="K83" s="48" t="n">
        <v>6</v>
      </c>
      <c r="L83" s="48" t="n">
        <v>6</v>
      </c>
      <c r="M83" s="49">
        <f>IF(COUNT(C83:L83)=0,"",SUM(C83:L83))</f>
        <v/>
      </c>
      <c r="N83" s="50">
        <f>IF(M83="","",M83/100)</f>
        <v/>
      </c>
      <c r="O83" s="51">
        <f>IF(M83="","",IF(M83&lt;50,"ضعيف",IF(M83&lt;75,"متوسط","ممتاز")))</f>
        <v/>
      </c>
    </row>
    <row r="84" ht="18" customHeight="1">
      <c r="A84" s="30" t="n">
        <v>79</v>
      </c>
      <c r="B84" s="31">
        <f>'قاعدة الأسماء'!B83</f>
        <v/>
      </c>
      <c r="C84" s="32" t="n">
        <v>7</v>
      </c>
      <c r="D84" s="32" t="n">
        <v>6</v>
      </c>
      <c r="E84" s="32" t="n">
        <v>5</v>
      </c>
      <c r="F84" s="32" t="n">
        <v>6</v>
      </c>
      <c r="G84" s="32" t="n">
        <v>7</v>
      </c>
      <c r="H84" s="32" t="n">
        <v>6</v>
      </c>
      <c r="I84" s="32" t="n">
        <v>7</v>
      </c>
      <c r="J84" s="32" t="n">
        <v>5</v>
      </c>
      <c r="K84" s="32" t="n">
        <v>6</v>
      </c>
      <c r="L84" s="32" t="n">
        <v>7</v>
      </c>
      <c r="M84" s="43">
        <f>IF(COUNT(C84:L84)=0,"",SUM(C84:L84))</f>
        <v/>
      </c>
      <c r="N84" s="44">
        <f>IF(M84="","",M84/100)</f>
        <v/>
      </c>
      <c r="O84" s="45">
        <f>IF(M84="","",IF(M84&lt;50,"ضعيف",IF(M84&lt;75,"متوسط","ممتاز")))</f>
        <v/>
      </c>
    </row>
    <row r="85" ht="18" customHeight="1">
      <c r="A85" s="46" t="n">
        <v>80</v>
      </c>
      <c r="B85" s="47">
        <f>'قاعدة الأسماء'!B84</f>
        <v/>
      </c>
      <c r="C85" s="48" t="n">
        <v>8</v>
      </c>
      <c r="D85" s="48" t="n">
        <v>6</v>
      </c>
      <c r="E85" s="48" t="n">
        <v>6</v>
      </c>
      <c r="F85" s="48" t="n">
        <v>7</v>
      </c>
      <c r="G85" s="48" t="n">
        <v>5</v>
      </c>
      <c r="H85" s="48" t="n">
        <v>6</v>
      </c>
      <c r="I85" s="48" t="n">
        <v>6</v>
      </c>
      <c r="J85" s="48" t="n">
        <v>6</v>
      </c>
      <c r="K85" s="48" t="n">
        <v>5</v>
      </c>
      <c r="L85" s="48" t="n">
        <v>6</v>
      </c>
      <c r="M85" s="49">
        <f>IF(COUNT(C85:L85)=0,"",SUM(C85:L85))</f>
        <v/>
      </c>
      <c r="N85" s="50">
        <f>IF(M85="","",M85/100)</f>
        <v/>
      </c>
      <c r="O85" s="51">
        <f>IF(M85="","",IF(M85&lt;50,"ضعيف",IF(M85&lt;75,"متوسط","ممتاز")))</f>
        <v/>
      </c>
    </row>
    <row r="86" ht="18" customHeight="1">
      <c r="A86" s="30" t="n">
        <v>81</v>
      </c>
      <c r="B86" s="31">
        <f>'قاعدة الأسماء'!B85</f>
        <v/>
      </c>
      <c r="C86" s="32" t="n">
        <v>6</v>
      </c>
      <c r="D86" s="32" t="n">
        <v>7</v>
      </c>
      <c r="E86" s="32" t="n">
        <v>6</v>
      </c>
      <c r="F86" s="32" t="n">
        <v>7</v>
      </c>
      <c r="G86" s="32" t="n">
        <v>8</v>
      </c>
      <c r="H86" s="32" t="n">
        <v>5</v>
      </c>
      <c r="I86" s="32" t="n">
        <v>7</v>
      </c>
      <c r="J86" s="32" t="n">
        <v>7</v>
      </c>
      <c r="K86" s="32" t="n">
        <v>6</v>
      </c>
      <c r="L86" s="32" t="n">
        <v>7</v>
      </c>
      <c r="M86" s="43">
        <f>IF(COUNT(C86:L86)=0,"",SUM(C86:L86))</f>
        <v/>
      </c>
      <c r="N86" s="44">
        <f>IF(M86="","",M86/100)</f>
        <v/>
      </c>
      <c r="O86" s="45">
        <f>IF(M86="","",IF(M86&lt;50,"ضعيف",IF(M86&lt;75,"متوسط","ممتاز")))</f>
        <v/>
      </c>
    </row>
    <row r="87" ht="18" customHeight="1">
      <c r="A87" s="46" t="n">
        <v>82</v>
      </c>
      <c r="B87" s="47">
        <f>'قاعدة الأسماء'!B86</f>
        <v/>
      </c>
      <c r="C87" s="48" t="n">
        <v>7</v>
      </c>
      <c r="D87" s="48" t="n">
        <v>8</v>
      </c>
      <c r="E87" s="48" t="n">
        <v>4</v>
      </c>
      <c r="F87" s="48" t="n">
        <v>5</v>
      </c>
      <c r="G87" s="48" t="n">
        <v>8</v>
      </c>
      <c r="H87" s="48" t="n">
        <v>5</v>
      </c>
      <c r="I87" s="48" t="n">
        <v>7</v>
      </c>
      <c r="J87" s="48" t="n">
        <v>5</v>
      </c>
      <c r="K87" s="48" t="n">
        <v>6</v>
      </c>
      <c r="L87" s="48" t="n">
        <v>6</v>
      </c>
      <c r="M87" s="49">
        <f>IF(COUNT(C87:L87)=0,"",SUM(C87:L87))</f>
        <v/>
      </c>
      <c r="N87" s="50">
        <f>IF(M87="","",M87/100)</f>
        <v/>
      </c>
      <c r="O87" s="51">
        <f>IF(M87="","",IF(M87&lt;50,"ضعيف",IF(M87&lt;75,"متوسط","ممتاز")))</f>
        <v/>
      </c>
    </row>
    <row r="88" ht="18" customHeight="1">
      <c r="A88" s="30" t="n">
        <v>83</v>
      </c>
      <c r="B88" s="31">
        <f>'قاعدة الأسماء'!B87</f>
        <v/>
      </c>
      <c r="C88" s="32" t="n">
        <v>8</v>
      </c>
      <c r="D88" s="32" t="n">
        <v>7</v>
      </c>
      <c r="E88" s="32" t="n">
        <v>6</v>
      </c>
      <c r="F88" s="32" t="n">
        <v>7</v>
      </c>
      <c r="G88" s="32" t="n">
        <v>6</v>
      </c>
      <c r="H88" s="32" t="n">
        <v>7</v>
      </c>
      <c r="I88" s="32" t="n">
        <v>6</v>
      </c>
      <c r="J88" s="32" t="n">
        <v>6</v>
      </c>
      <c r="K88" s="32" t="n">
        <v>7</v>
      </c>
      <c r="L88" s="32" t="n">
        <v>7</v>
      </c>
      <c r="M88" s="43">
        <f>IF(COUNT(C88:L88)=0,"",SUM(C88:L88))</f>
        <v/>
      </c>
      <c r="N88" s="44">
        <f>IF(M88="","",M88/100)</f>
        <v/>
      </c>
      <c r="O88" s="45">
        <f>IF(M88="","",IF(M88&lt;50,"ضعيف",IF(M88&lt;75,"متوسط","ممتاز")))</f>
        <v/>
      </c>
    </row>
    <row r="89" ht="18" customHeight="1">
      <c r="A89" s="46" t="n">
        <v>84</v>
      </c>
      <c r="B89" s="47">
        <f>'قاعدة الأسماء'!B88</f>
        <v/>
      </c>
      <c r="C89" s="48" t="n">
        <v>6</v>
      </c>
      <c r="D89" s="48" t="n">
        <v>5</v>
      </c>
      <c r="E89" s="48" t="n">
        <v>5</v>
      </c>
      <c r="F89" s="48" t="n">
        <v>6</v>
      </c>
      <c r="G89" s="48" t="n">
        <v>6</v>
      </c>
      <c r="H89" s="48" t="n">
        <v>6</v>
      </c>
      <c r="I89" s="48" t="n">
        <v>6</v>
      </c>
      <c r="J89" s="48" t="n">
        <v>8</v>
      </c>
      <c r="K89" s="48" t="n">
        <v>7</v>
      </c>
      <c r="L89" s="48" t="n">
        <v>6</v>
      </c>
      <c r="M89" s="49">
        <f>IF(COUNT(C89:L89)=0,"",SUM(C89:L89))</f>
        <v/>
      </c>
      <c r="N89" s="50">
        <f>IF(M89="","",M89/100)</f>
        <v/>
      </c>
      <c r="O89" s="51">
        <f>IF(M89="","",IF(M89&lt;50,"ضعيف",IF(M89&lt;75,"متوسط","ممتاز")))</f>
        <v/>
      </c>
    </row>
    <row r="90" ht="18" customHeight="1">
      <c r="A90" s="30" t="n">
        <v>85</v>
      </c>
      <c r="B90" s="31">
        <f>'قاعدة الأسماء'!B89</f>
        <v/>
      </c>
      <c r="C90" s="32" t="n">
        <v>7</v>
      </c>
      <c r="D90" s="32" t="n">
        <v>7</v>
      </c>
      <c r="E90" s="32" t="n">
        <v>4</v>
      </c>
      <c r="F90" s="32" t="n">
        <v>5</v>
      </c>
      <c r="G90" s="32" t="n">
        <v>9</v>
      </c>
      <c r="H90" s="32" t="n">
        <v>6</v>
      </c>
      <c r="I90" s="32" t="n">
        <v>8</v>
      </c>
      <c r="J90" s="32" t="n">
        <v>6</v>
      </c>
      <c r="K90" s="32" t="n">
        <v>6</v>
      </c>
      <c r="L90" s="32" t="n">
        <v>6</v>
      </c>
      <c r="M90" s="43">
        <f>IF(COUNT(C90:L90)=0,"",SUM(C90:L90))</f>
        <v/>
      </c>
      <c r="N90" s="44">
        <f>IF(M90="","",M90/100)</f>
        <v/>
      </c>
      <c r="O90" s="45">
        <f>IF(M90="","",IF(M90&lt;50,"ضعيف",IF(M90&lt;75,"متوسط","ممتاز")))</f>
        <v/>
      </c>
    </row>
    <row r="91" ht="18" customHeight="1">
      <c r="A91" s="46" t="n">
        <v>86</v>
      </c>
      <c r="B91" s="47">
        <f>'قاعدة الأسماء'!B90</f>
        <v/>
      </c>
      <c r="C91" s="48" t="n">
        <v>8</v>
      </c>
      <c r="D91" s="48" t="n">
        <v>7</v>
      </c>
      <c r="E91" s="48" t="n">
        <v>7</v>
      </c>
      <c r="F91" s="48" t="n">
        <v>6</v>
      </c>
      <c r="G91" s="48" t="n">
        <v>6</v>
      </c>
      <c r="H91" s="48" t="n">
        <v>6</v>
      </c>
      <c r="I91" s="48" t="n">
        <v>6</v>
      </c>
      <c r="J91" s="48" t="n">
        <v>6</v>
      </c>
      <c r="K91" s="48" t="n">
        <v>5</v>
      </c>
      <c r="L91" s="48" t="n">
        <v>7</v>
      </c>
      <c r="M91" s="49">
        <f>IF(COUNT(C91:L91)=0,"",SUM(C91:L91))</f>
        <v/>
      </c>
      <c r="N91" s="50">
        <f>IF(M91="","",M91/100)</f>
        <v/>
      </c>
      <c r="O91" s="51">
        <f>IF(M91="","",IF(M91&lt;50,"ضعيف",IF(M91&lt;75,"متوسط","ممتاز")))</f>
        <v/>
      </c>
    </row>
    <row r="92" ht="18" customHeight="1">
      <c r="A92" s="30" t="n">
        <v>87</v>
      </c>
      <c r="B92" s="31">
        <f>'قاعدة الأسماء'!B91</f>
        <v/>
      </c>
      <c r="C92" s="32" t="n">
        <v>7</v>
      </c>
      <c r="D92" s="32" t="n">
        <v>6</v>
      </c>
      <c r="E92" s="32" t="n">
        <v>4</v>
      </c>
      <c r="F92" s="32" t="n">
        <v>5</v>
      </c>
      <c r="G92" s="32" t="n">
        <v>6</v>
      </c>
      <c r="H92" s="32" t="n">
        <v>6</v>
      </c>
      <c r="I92" s="32" t="n">
        <v>6</v>
      </c>
      <c r="J92" s="32" t="n">
        <v>7</v>
      </c>
      <c r="K92" s="32" t="n">
        <v>6</v>
      </c>
      <c r="L92" s="32" t="n">
        <v>5</v>
      </c>
      <c r="M92" s="43">
        <f>IF(COUNT(C92:L92)=0,"",SUM(C92:L92))</f>
        <v/>
      </c>
      <c r="N92" s="44">
        <f>IF(M92="","",M92/100)</f>
        <v/>
      </c>
      <c r="O92" s="45">
        <f>IF(M92="","",IF(M92&lt;50,"ضعيف",IF(M92&lt;75,"متوسط","ممتاز")))</f>
        <v/>
      </c>
    </row>
    <row r="93" ht="18" customHeight="1">
      <c r="A93" s="46" t="n">
        <v>88</v>
      </c>
      <c r="B93" s="47">
        <f>'قاعدة الأسماء'!B92</f>
        <v/>
      </c>
      <c r="C93" s="48" t="n">
        <v>6</v>
      </c>
      <c r="D93" s="48" t="n">
        <v>7</v>
      </c>
      <c r="E93" s="48" t="n">
        <v>5</v>
      </c>
      <c r="F93" s="48" t="n">
        <v>5</v>
      </c>
      <c r="G93" s="48" t="n">
        <v>5</v>
      </c>
      <c r="H93" s="48" t="n">
        <v>6</v>
      </c>
      <c r="I93" s="48" t="n">
        <v>6</v>
      </c>
      <c r="J93" s="48" t="n">
        <v>5</v>
      </c>
      <c r="K93" s="48" t="n">
        <v>6</v>
      </c>
      <c r="L93" s="48" t="n">
        <v>6</v>
      </c>
      <c r="M93" s="49">
        <f>IF(COUNT(C93:L93)=0,"",SUM(C93:L93))</f>
        <v/>
      </c>
      <c r="N93" s="50">
        <f>IF(M93="","",M93/100)</f>
        <v/>
      </c>
      <c r="O93" s="51">
        <f>IF(M93="","",IF(M93&lt;50,"ضعيف",IF(M93&lt;75,"متوسط","ممتاز")))</f>
        <v/>
      </c>
    </row>
    <row r="94" ht="18" customHeight="1">
      <c r="A94" s="30" t="n">
        <v>89</v>
      </c>
      <c r="B94" s="31">
        <f>'قاعدة الأسماء'!B93</f>
        <v/>
      </c>
      <c r="C94" s="32" t="n">
        <v>8</v>
      </c>
      <c r="D94" s="32" t="n">
        <v>7</v>
      </c>
      <c r="E94" s="32" t="n">
        <v>4</v>
      </c>
      <c r="F94" s="32" t="n">
        <v>4</v>
      </c>
      <c r="G94" s="32" t="n">
        <v>8</v>
      </c>
      <c r="H94" s="32" t="n">
        <v>5</v>
      </c>
      <c r="I94" s="32" t="n">
        <v>8</v>
      </c>
      <c r="J94" s="32" t="n">
        <v>5</v>
      </c>
      <c r="K94" s="32" t="n">
        <v>6</v>
      </c>
      <c r="L94" s="32" t="n">
        <v>6</v>
      </c>
      <c r="M94" s="43">
        <f>IF(COUNT(C94:L94)=0,"",SUM(C94:L94))</f>
        <v/>
      </c>
      <c r="N94" s="44">
        <f>IF(M94="","",M94/100)</f>
        <v/>
      </c>
      <c r="O94" s="45">
        <f>IF(M94="","",IF(M94&lt;50,"ضعيف",IF(M94&lt;75,"متوسط","ممتاز")))</f>
        <v/>
      </c>
    </row>
    <row r="95" ht="18" customHeight="1">
      <c r="A95" s="46" t="n">
        <v>90</v>
      </c>
      <c r="B95" s="47">
        <f>'قاعدة الأسماء'!B94</f>
        <v/>
      </c>
      <c r="C95" s="48" t="n">
        <v>8</v>
      </c>
      <c r="D95" s="48" t="n">
        <v>8</v>
      </c>
      <c r="E95" s="48" t="n">
        <v>5</v>
      </c>
      <c r="F95" s="48" t="n">
        <v>6</v>
      </c>
      <c r="G95" s="48" t="n">
        <v>7</v>
      </c>
      <c r="H95" s="48" t="n">
        <v>5</v>
      </c>
      <c r="I95" s="48" t="n">
        <v>6</v>
      </c>
      <c r="J95" s="48" t="n">
        <v>6</v>
      </c>
      <c r="K95" s="48" t="n">
        <v>5</v>
      </c>
      <c r="L95" s="48" t="n">
        <v>7</v>
      </c>
      <c r="M95" s="49">
        <f>IF(COUNT(C95:L95)=0,"",SUM(C95:L95))</f>
        <v/>
      </c>
      <c r="N95" s="50">
        <f>IF(M95="","",M95/100)</f>
        <v/>
      </c>
      <c r="O95" s="51">
        <f>IF(M95="","",IF(M95&lt;50,"ضعيف",IF(M95&lt;75,"متوسط","ممتاز")))</f>
        <v/>
      </c>
    </row>
    <row r="96" ht="18" customHeight="1">
      <c r="A96" s="30" t="n">
        <v>91</v>
      </c>
      <c r="B96" s="31">
        <f>'قاعدة الأسماء'!B95</f>
        <v/>
      </c>
      <c r="C96" s="32" t="n">
        <v>6</v>
      </c>
      <c r="D96" s="32" t="n">
        <v>8</v>
      </c>
      <c r="E96" s="32" t="n">
        <v>7</v>
      </c>
      <c r="F96" s="32" t="n">
        <v>5</v>
      </c>
      <c r="G96" s="32" t="n">
        <v>8</v>
      </c>
      <c r="H96" s="32" t="n">
        <v>7</v>
      </c>
      <c r="I96" s="32" t="n">
        <v>8</v>
      </c>
      <c r="J96" s="32" t="n">
        <v>6</v>
      </c>
      <c r="K96" s="32" t="n">
        <v>5</v>
      </c>
      <c r="L96" s="32" t="n">
        <v>8</v>
      </c>
      <c r="M96" s="43">
        <f>IF(COUNT(C96:L96)=0,"",SUM(C96:L96))</f>
        <v/>
      </c>
      <c r="N96" s="44">
        <f>IF(M96="","",M96/100)</f>
        <v/>
      </c>
      <c r="O96" s="45">
        <f>IF(M96="","",IF(M96&lt;50,"ضعيف",IF(M96&lt;75,"متوسط","ممتاز")))</f>
        <v/>
      </c>
    </row>
    <row r="97" ht="18" customHeight="1">
      <c r="A97" s="46" t="n">
        <v>92</v>
      </c>
      <c r="B97" s="47">
        <f>'قاعدة الأسماء'!B96</f>
        <v/>
      </c>
      <c r="C97" s="48" t="n">
        <v>7</v>
      </c>
      <c r="D97" s="48" t="n">
        <v>7</v>
      </c>
      <c r="E97" s="48" t="n">
        <v>4</v>
      </c>
      <c r="F97" s="48" t="n">
        <v>5</v>
      </c>
      <c r="G97" s="48" t="n">
        <v>7</v>
      </c>
      <c r="H97" s="48" t="n">
        <v>5</v>
      </c>
      <c r="I97" s="48" t="n">
        <v>6</v>
      </c>
      <c r="J97" s="48" t="n">
        <v>5</v>
      </c>
      <c r="K97" s="48" t="n">
        <v>6</v>
      </c>
      <c r="L97" s="48" t="n">
        <v>7</v>
      </c>
      <c r="M97" s="49">
        <f>IF(COUNT(C97:L97)=0,"",SUM(C97:L97))</f>
        <v/>
      </c>
      <c r="N97" s="50">
        <f>IF(M97="","",M97/100)</f>
        <v/>
      </c>
      <c r="O97" s="51">
        <f>IF(M97="","",IF(M97&lt;50,"ضعيف",IF(M97&lt;75,"متوسط","ممتاز")))</f>
        <v/>
      </c>
    </row>
    <row r="98" ht="18" customHeight="1">
      <c r="A98" s="30" t="n">
        <v>93</v>
      </c>
      <c r="B98" s="31">
        <f>'قاعدة الأسماء'!B97</f>
        <v/>
      </c>
      <c r="C98" s="32" t="n">
        <v>7</v>
      </c>
      <c r="D98" s="32" t="n">
        <v>7</v>
      </c>
      <c r="E98" s="32" t="n">
        <v>7</v>
      </c>
      <c r="F98" s="32" t="n">
        <v>7</v>
      </c>
      <c r="G98" s="32" t="n">
        <v>8</v>
      </c>
      <c r="H98" s="32" t="n">
        <v>6</v>
      </c>
      <c r="I98" s="32" t="n">
        <v>6</v>
      </c>
      <c r="J98" s="32" t="n">
        <v>7</v>
      </c>
      <c r="K98" s="32" t="n">
        <v>8</v>
      </c>
      <c r="L98" s="32" t="n">
        <v>6</v>
      </c>
      <c r="M98" s="43">
        <f>IF(COUNT(C98:L98)=0,"",SUM(C98:L98))</f>
        <v/>
      </c>
      <c r="N98" s="44">
        <f>IF(M98="","",M98/100)</f>
        <v/>
      </c>
      <c r="O98" s="45">
        <f>IF(M98="","",IF(M98&lt;50,"ضعيف",IF(M98&lt;75,"متوسط","ممتاز")))</f>
        <v/>
      </c>
    </row>
    <row r="99" ht="18" customHeight="1">
      <c r="A99" s="46" t="n">
        <v>94</v>
      </c>
      <c r="B99" s="47">
        <f>'قاعدة الأسماء'!B98</f>
        <v/>
      </c>
      <c r="C99" s="48" t="n">
        <v>6</v>
      </c>
      <c r="D99" s="48" t="n">
        <v>7</v>
      </c>
      <c r="E99" s="48" t="n">
        <v>5</v>
      </c>
      <c r="F99" s="48" t="n">
        <v>6</v>
      </c>
      <c r="G99" s="48" t="n">
        <v>6</v>
      </c>
      <c r="H99" s="48" t="n">
        <v>5</v>
      </c>
      <c r="I99" s="48" t="n">
        <v>5</v>
      </c>
      <c r="J99" s="48" t="n">
        <v>7</v>
      </c>
      <c r="K99" s="48" t="n">
        <v>6</v>
      </c>
      <c r="L99" s="48" t="n">
        <v>5</v>
      </c>
      <c r="M99" s="49">
        <f>IF(COUNT(C99:L99)=0,"",SUM(C99:L99))</f>
        <v/>
      </c>
      <c r="N99" s="50">
        <f>IF(M99="","",M99/100)</f>
        <v/>
      </c>
      <c r="O99" s="51">
        <f>IF(M99="","",IF(M99&lt;50,"ضعيف",IF(M99&lt;75,"متوسط","ممتاز")))</f>
        <v/>
      </c>
    </row>
    <row r="100" ht="18" customHeight="1">
      <c r="A100" s="30" t="n">
        <v>95</v>
      </c>
      <c r="B100" s="31">
        <f>'قاعدة الأسماء'!B99</f>
        <v/>
      </c>
      <c r="C100" s="32" t="n">
        <v>9</v>
      </c>
      <c r="D100" s="32" t="n">
        <v>7</v>
      </c>
      <c r="E100" s="32" t="n">
        <v>5</v>
      </c>
      <c r="F100" s="32" t="n">
        <v>5</v>
      </c>
      <c r="G100" s="32" t="n">
        <v>8</v>
      </c>
      <c r="H100" s="32" t="n">
        <v>6</v>
      </c>
      <c r="I100" s="32" t="n">
        <v>6</v>
      </c>
      <c r="J100" s="32" t="n">
        <v>5</v>
      </c>
      <c r="K100" s="32" t="n">
        <v>6</v>
      </c>
      <c r="L100" s="32" t="n">
        <v>8</v>
      </c>
      <c r="M100" s="43">
        <f>IF(COUNT(C100:L100)=0,"",SUM(C100:L100))</f>
        <v/>
      </c>
      <c r="N100" s="44">
        <f>IF(M100="","",M100/100)</f>
        <v/>
      </c>
      <c r="O100" s="45">
        <f>IF(M100="","",IF(M100&lt;50,"ضعيف",IF(M100&lt;75,"متوسط","ممتاز")))</f>
        <v/>
      </c>
    </row>
    <row r="101" ht="18" customHeight="1">
      <c r="A101" s="46" t="n">
        <v>96</v>
      </c>
      <c r="B101" s="47">
        <f>'قاعدة الأسماء'!B100</f>
        <v/>
      </c>
      <c r="C101" s="48" t="n">
        <v>6</v>
      </c>
      <c r="D101" s="48" t="n">
        <v>8</v>
      </c>
      <c r="E101" s="48" t="n">
        <v>4</v>
      </c>
      <c r="F101" s="48" t="n">
        <v>6</v>
      </c>
      <c r="G101" s="48" t="n">
        <v>6</v>
      </c>
      <c r="H101" s="48" t="n">
        <v>5</v>
      </c>
      <c r="I101" s="48" t="n">
        <v>7</v>
      </c>
      <c r="J101" s="48" t="n">
        <v>4</v>
      </c>
      <c r="K101" s="48" t="n">
        <v>4</v>
      </c>
      <c r="L101" s="48" t="n">
        <v>5</v>
      </c>
      <c r="M101" s="49">
        <f>IF(COUNT(C101:L101)=0,"",SUM(C101:L101))</f>
        <v/>
      </c>
      <c r="N101" s="50">
        <f>IF(M101="","",M101/100)</f>
        <v/>
      </c>
      <c r="O101" s="51">
        <f>IF(M101="","",IF(M101&lt;50,"ضعيف",IF(M101&lt;75,"متوسط","ممتاز")))</f>
        <v/>
      </c>
    </row>
    <row r="102" ht="18" customHeight="1">
      <c r="A102" s="30" t="n">
        <v>97</v>
      </c>
      <c r="B102" s="31">
        <f>'قاعدة الأسماء'!B101</f>
        <v/>
      </c>
      <c r="C102" s="32" t="n">
        <v>5</v>
      </c>
      <c r="D102" s="32" t="n">
        <v>5</v>
      </c>
      <c r="E102" s="32" t="n">
        <v>3</v>
      </c>
      <c r="F102" s="32" t="n">
        <v>4</v>
      </c>
      <c r="G102" s="32" t="n">
        <v>4</v>
      </c>
      <c r="H102" s="32" t="n">
        <v>4</v>
      </c>
      <c r="I102" s="32" t="n">
        <v>5</v>
      </c>
      <c r="J102" s="32" t="n">
        <v>5</v>
      </c>
      <c r="K102" s="32" t="n">
        <v>5</v>
      </c>
      <c r="L102" s="32" t="n">
        <v>5</v>
      </c>
      <c r="M102" s="43">
        <f>IF(COUNT(C102:L102)=0,"",SUM(C102:L102))</f>
        <v/>
      </c>
      <c r="N102" s="44">
        <f>IF(M102="","",M102/100)</f>
        <v/>
      </c>
      <c r="O102" s="45">
        <f>IF(M102="","",IF(M102&lt;50,"ضعيف",IF(M102&lt;75,"متوسط","ممتاز")))</f>
        <v/>
      </c>
    </row>
    <row r="103" ht="18" customHeight="1">
      <c r="A103" s="46" t="n">
        <v>98</v>
      </c>
      <c r="B103" s="47">
        <f>'قاعدة الأسماء'!B102</f>
        <v/>
      </c>
      <c r="C103" s="48" t="n">
        <v>4</v>
      </c>
      <c r="D103" s="48" t="n">
        <v>4</v>
      </c>
      <c r="E103" s="48" t="n">
        <v>3</v>
      </c>
      <c r="F103" s="48" t="n">
        <v>3</v>
      </c>
      <c r="G103" s="48" t="n">
        <v>4</v>
      </c>
      <c r="H103" s="48" t="n">
        <v>4</v>
      </c>
      <c r="I103" s="48" t="n">
        <v>3</v>
      </c>
      <c r="J103" s="48" t="n">
        <v>3</v>
      </c>
      <c r="K103" s="48" t="n">
        <v>4</v>
      </c>
      <c r="L103" s="48" t="n">
        <v>3</v>
      </c>
      <c r="M103" s="49">
        <f>IF(COUNT(C103:L103)=0,"",SUM(C103:L103))</f>
        <v/>
      </c>
      <c r="N103" s="50">
        <f>IF(M103="","",M103/100)</f>
        <v/>
      </c>
      <c r="O103" s="51">
        <f>IF(M103="","",IF(M103&lt;50,"ضعيف",IF(M103&lt;75,"متوسط","ممتاز")))</f>
        <v/>
      </c>
    </row>
    <row r="104" ht="18" customHeight="1">
      <c r="A104" s="30" t="n">
        <v>99</v>
      </c>
      <c r="B104" s="31">
        <f>'قاعدة الأسماء'!B103</f>
        <v/>
      </c>
      <c r="C104" s="32" t="n">
        <v>5</v>
      </c>
      <c r="D104" s="32" t="n">
        <v>5</v>
      </c>
      <c r="E104" s="32" t="n">
        <v>3</v>
      </c>
      <c r="F104" s="32" t="n">
        <v>4</v>
      </c>
      <c r="G104" s="32" t="n">
        <v>4</v>
      </c>
      <c r="H104" s="32" t="n">
        <v>3</v>
      </c>
      <c r="I104" s="32" t="n">
        <v>5</v>
      </c>
      <c r="J104" s="32" t="n">
        <v>4</v>
      </c>
      <c r="K104" s="32" t="n">
        <v>4</v>
      </c>
      <c r="L104" s="32" t="n">
        <v>4</v>
      </c>
      <c r="M104" s="43">
        <f>IF(COUNT(C104:L104)=0,"",SUM(C104:L104))</f>
        <v/>
      </c>
      <c r="N104" s="44">
        <f>IF(M104="","",M104/100)</f>
        <v/>
      </c>
      <c r="O104" s="45">
        <f>IF(M104="","",IF(M104&lt;50,"ضعيف",IF(M104&lt;75,"متوسط","ممتاز")))</f>
        <v/>
      </c>
    </row>
    <row r="107" ht="32" customHeight="1">
      <c r="A107" s="52" t="inlineStr">
        <is>
          <t>تحليل النتائج الفوري والرسوم البيانية – Diagnostic Analytics &amp; Charts</t>
        </is>
      </c>
    </row>
    <row r="109" ht="24" customHeight="1">
      <c r="B109" s="53" t="inlineStr">
        <is>
          <t>المؤشرات العامة</t>
        </is>
      </c>
    </row>
    <row r="110" ht="20" customHeight="1">
      <c r="B110" s="54" t="inlineStr">
        <is>
          <t>متوسط الدرجات</t>
        </is>
      </c>
      <c r="D110" s="55">
        <f>IFERROR(AVERAGE(M6:M104),0)</f>
        <v/>
      </c>
    </row>
    <row r="111" ht="20" customHeight="1">
      <c r="B111" s="54" t="inlineStr">
        <is>
          <t>نسبة النجاح</t>
        </is>
      </c>
      <c r="D111" s="56">
        <f>IFERROR(COUNTIF(O6:O104,"&lt;&gt;ضعيف")/99,0)</f>
        <v/>
      </c>
    </row>
    <row r="112" ht="20" customHeight="1">
      <c r="B112" s="54" t="inlineStr">
        <is>
          <t>أعلى درجة</t>
        </is>
      </c>
      <c r="D112" s="57">
        <f>IFERROR(MAX(M6:M104),0)</f>
        <v/>
      </c>
    </row>
    <row r="113" ht="20" customHeight="1">
      <c r="B113" s="54" t="inlineStr">
        <is>
          <t>أدنى درجة</t>
        </is>
      </c>
      <c r="D113" s="57">
        <f>IFERROR(MIN(M6:M104),0)</f>
        <v/>
      </c>
    </row>
    <row r="115" ht="24" customHeight="1">
      <c r="B115" s="58" t="inlineStr">
        <is>
          <t>توزيع مستويات الطالبات</t>
        </is>
      </c>
    </row>
    <row r="116" ht="20" customHeight="1">
      <c r="B116" s="38" t="inlineStr">
        <is>
          <t>المستوى</t>
        </is>
      </c>
      <c r="C116" s="38" t="inlineStr">
        <is>
          <t>العدد</t>
        </is>
      </c>
      <c r="D116" s="38" t="inlineStr">
        <is>
          <t>النسبة%</t>
        </is>
      </c>
    </row>
    <row r="117" ht="22" customHeight="1">
      <c r="B117" s="59" t="inlineStr">
        <is>
          <t>ممتاز</t>
        </is>
      </c>
      <c r="C117" s="60">
        <f>COUNTIF(O6:O104,"ممتاز")</f>
        <v/>
      </c>
      <c r="D117" s="61">
        <f>C117/99</f>
        <v/>
      </c>
    </row>
    <row r="118" ht="22" customHeight="1">
      <c r="B118" s="62" t="inlineStr">
        <is>
          <t>متوسط</t>
        </is>
      </c>
      <c r="C118" s="60">
        <f>COUNTIF(O6:O104,"متوسط")</f>
        <v/>
      </c>
      <c r="D118" s="61">
        <f>C118/99</f>
        <v/>
      </c>
    </row>
    <row r="119" ht="22" customHeight="1">
      <c r="B119" s="63" t="inlineStr">
        <is>
          <t>ضعيف</t>
        </is>
      </c>
      <c r="C119" s="60">
        <f>COUNTIF(O6:O104,"ضعيف")</f>
        <v/>
      </c>
      <c r="D119" s="61">
        <f>C119/99</f>
        <v/>
      </c>
    </row>
    <row r="121" ht="28" customHeight="1">
      <c r="A121" s="64" t="inlineStr">
        <is>
          <t>مقارنة وتحليل متوسط درجات مهارات نافس العشر</t>
        </is>
      </c>
    </row>
    <row r="123" ht="22" customHeight="1">
      <c r="B123" s="38" t="inlineStr">
        <is>
          <t>المهارة</t>
        </is>
      </c>
      <c r="C123" s="38" t="inlineStr">
        <is>
          <t>المتوسط</t>
        </is>
      </c>
      <c r="D123" s="38" t="inlineStr">
        <is>
          <t>التقييم</t>
        </is>
      </c>
    </row>
    <row r="124" ht="20" customHeight="1">
      <c r="B124" s="65">
        <f>'الواجهة الرئيسية'!B8</f>
        <v/>
      </c>
      <c r="C124" s="66">
        <f>IFERROR(AVERAGE(C6:C104),0)</f>
        <v/>
      </c>
      <c r="D124" s="67">
        <f>IF(C124&gt;=7.5,"نقطة قوة",IF(C124&gt;=5.0,"مستوى متوسط","تحتاج دعم"))</f>
        <v/>
      </c>
    </row>
    <row r="125" ht="20" customHeight="1">
      <c r="B125" s="68">
        <f>'الواجهة الرئيسية'!D8</f>
        <v/>
      </c>
      <c r="C125" s="69">
        <f>IFERROR(AVERAGE(D6:D104),0)</f>
        <v/>
      </c>
      <c r="D125" s="70">
        <f>IF(C125&gt;=7.5,"نقطة قوة",IF(C125&gt;=5.0,"مستوى متوسط","تحتاج دعم"))</f>
        <v/>
      </c>
    </row>
    <row r="126" ht="20" customHeight="1">
      <c r="B126" s="65">
        <f>'الواجهة الرئيسية'!F8</f>
        <v/>
      </c>
      <c r="C126" s="66">
        <f>IFERROR(AVERAGE(E6:E104),0)</f>
        <v/>
      </c>
      <c r="D126" s="67">
        <f>IF(C126&gt;=7.5,"نقطة قوة",IF(C126&gt;=5.0,"مستوى متوسط","تحتاج دعم"))</f>
        <v/>
      </c>
    </row>
    <row r="127" ht="20" customHeight="1">
      <c r="B127" s="68">
        <f>'الواجهة الرئيسية'!H8</f>
        <v/>
      </c>
      <c r="C127" s="69">
        <f>IFERROR(AVERAGE(F6:F104),0)</f>
        <v/>
      </c>
      <c r="D127" s="70">
        <f>IF(C127&gt;=7.5,"نقطة قوة",IF(C127&gt;=5.0,"مستوى متوسط","تحتاج دعم"))</f>
        <v/>
      </c>
    </row>
    <row r="128" ht="20" customHeight="1">
      <c r="B128" s="65">
        <f>'الواجهة الرئيسية'!J8</f>
        <v/>
      </c>
      <c r="C128" s="66">
        <f>IFERROR(AVERAGE(G6:G104),0)</f>
        <v/>
      </c>
      <c r="D128" s="67">
        <f>IF(C128&gt;=7.5,"نقطة قوة",IF(C128&gt;=5.0,"مستوى متوسط","تحتاج دعم"))</f>
        <v/>
      </c>
    </row>
    <row r="129" ht="20" customHeight="1">
      <c r="B129" s="68">
        <f>'الواجهة الرئيسية'!B20</f>
        <v/>
      </c>
      <c r="C129" s="69">
        <f>IFERROR(AVERAGE(H6:H104),0)</f>
        <v/>
      </c>
      <c r="D129" s="70">
        <f>IF(C129&gt;=7.5,"نقطة قوة",IF(C129&gt;=5.0,"مستوى متوسط","تحتاج دعم"))</f>
        <v/>
      </c>
    </row>
    <row r="130" ht="20" customHeight="1">
      <c r="B130" s="65">
        <f>'الواجهة الرئيسية'!D20</f>
        <v/>
      </c>
      <c r="C130" s="66">
        <f>IFERROR(AVERAGE(I6:I104),0)</f>
        <v/>
      </c>
      <c r="D130" s="67">
        <f>IF(C130&gt;=7.5,"نقطة قوة",IF(C130&gt;=5.0,"مستوى متوسط","تحتاج دعم"))</f>
        <v/>
      </c>
    </row>
    <row r="131" ht="20" customHeight="1">
      <c r="B131" s="68">
        <f>'الواجهة الرئيسية'!F20</f>
        <v/>
      </c>
      <c r="C131" s="69">
        <f>IFERROR(AVERAGE(J6:J104),0)</f>
        <v/>
      </c>
      <c r="D131" s="70">
        <f>IF(C131&gt;=7.5,"نقطة قوة",IF(C131&gt;=5.0,"مستوى متوسط","تحتاج دعم"))</f>
        <v/>
      </c>
    </row>
    <row r="132" ht="20" customHeight="1">
      <c r="B132" s="65">
        <f>'الواجهة الرئيسية'!H20</f>
        <v/>
      </c>
      <c r="C132" s="66">
        <f>IFERROR(AVERAGE(K6:K104),0)</f>
        <v/>
      </c>
      <c r="D132" s="67">
        <f>IF(C132&gt;=7.5,"نقطة قوة",IF(C132&gt;=5.0,"مستوى متوسط","تحتاج دعم"))</f>
        <v/>
      </c>
    </row>
    <row r="133" ht="20" customHeight="1">
      <c r="B133" s="68">
        <f>'الواجهة الرئيسية'!J20</f>
        <v/>
      </c>
      <c r="C133" s="69">
        <f>IFERROR(AVERAGE(L6:L104),0)</f>
        <v/>
      </c>
      <c r="D133" s="70">
        <f>IF(C133&gt;=7.5,"نقطة قوة",IF(C133&gt;=5.0,"مستوى متوسط","تحتاج دعم"))</f>
        <v/>
      </c>
    </row>
  </sheetData>
  <mergeCells count="10">
    <mergeCell ref="A2:O2"/>
    <mergeCell ref="A107:O107"/>
    <mergeCell ref="B112:C112"/>
    <mergeCell ref="A121:O121"/>
    <mergeCell ref="B115:D115"/>
    <mergeCell ref="B111:C111"/>
    <mergeCell ref="B110:C110"/>
    <mergeCell ref="B109:D109"/>
    <mergeCell ref="A3:O3"/>
    <mergeCell ref="B113:C113"/>
  </mergeCells>
  <conditionalFormatting sqref="C6:L104">
    <cfRule type="colorScale" priority="1">
      <colorScale>
        <cfvo type="num" val="0"/>
        <cfvo type="num" val="6"/>
        <cfvo type="num" val="10"/>
        <color rgb="00FF6B6B"/>
        <color rgb="00FFE66D"/>
        <color rgb="004ECDC4"/>
      </colorScale>
    </cfRule>
  </conditionalFormatting>
  <conditionalFormatting sqref="O6:O104">
    <cfRule type="expression" priority="2" dxfId="0">
      <formula>=O6="ممتاز"</formula>
    </cfRule>
    <cfRule type="expression" priority="3" dxfId="1">
      <formula>=O6="متوسط"</formula>
    </cfRule>
    <cfRule type="expression" priority="4" dxfId="2">
      <formula>=O6="ضعيف"</formula>
    </cfRule>
  </conditionalFormatting>
  <conditionalFormatting sqref="N6:N104">
    <cfRule type="colorScale" priority="5">
      <colorScale>
        <cfvo type="num" val="0"/>
        <cfvo type="num" val="0.6"/>
        <cfvo type="num" val="1"/>
        <color rgb="00FF6B6B"/>
        <color rgb="00FFE66D"/>
        <color rgb="004ECD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2DC653"/>
    <outlinePr summaryBelow="1" summaryRight="1"/>
    <pageSetUpPr/>
  </sheetPr>
  <dimension ref="A2:H103"/>
  <sheetViews>
    <sheetView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22" customWidth="1" min="4" max="4"/>
    <col width="24" customWidth="1" min="5" max="5"/>
    <col width="22" customWidth="1" min="6" max="6"/>
    <col width="22" customWidth="1" min="7" max="7"/>
    <col width="18" customWidth="1" min="8" max="8"/>
  </cols>
  <sheetData>
    <row r="1" ht="10" customHeight="1"/>
    <row r="2" ht="55" customHeight="1">
      <c r="A2" s="71" t="inlineStr">
        <is>
          <t>الخطط العلاجية والإثرائية – البعدي</t>
        </is>
      </c>
    </row>
    <row r="3" ht="30" customHeight="1">
      <c r="A3" s="28" t="inlineStr">
        <is>
          <t>تُنشأ الخطط تلقائياً بناءً على مستوى الطالبة</t>
        </is>
      </c>
    </row>
    <row r="4" ht="30" customHeight="1">
      <c r="A4" s="29" t="inlineStr">
        <is>
          <t>م</t>
        </is>
      </c>
      <c r="B4" s="29" t="inlineStr">
        <is>
          <t>اسم الطالبة</t>
        </is>
      </c>
      <c r="C4" s="29" t="inlineStr">
        <is>
          <t>المستوى</t>
        </is>
      </c>
      <c r="D4" s="29" t="inlineStr">
        <is>
          <t>نوع الخطة</t>
        </is>
      </c>
      <c r="E4" s="29" t="inlineStr">
        <is>
          <t>المهارات المستهدفة</t>
        </is>
      </c>
      <c r="F4" s="29" t="inlineStr">
        <is>
          <t>الأنشطة</t>
        </is>
      </c>
      <c r="G4" s="29" t="inlineStr">
        <is>
          <t>ملاحظات</t>
        </is>
      </c>
      <c r="H4" s="29" t="inlineStr">
        <is>
          <t>تاريخ التنفيذ</t>
        </is>
      </c>
    </row>
    <row r="5" ht="22" customHeight="1">
      <c r="A5" s="30" t="n">
        <v>1</v>
      </c>
      <c r="B5" s="31">
        <f>'قاعدة الأسماء'!B5</f>
        <v/>
      </c>
      <c r="C5" s="45">
        <f>'الاختبار البعدي'!O6</f>
        <v/>
      </c>
      <c r="D5" s="72">
        <f>IF(C5="ضعيف","خطة علاجية",IF(C5="متوسط","خطة تطويرية","خطة إثرائية"))</f>
        <v/>
      </c>
      <c r="E5" s="73">
        <f>IF(C5="ضعيف","تركيز على: " &amp; 'الواجهة الرئيسية'!B8 &amp; " و " &amp; 'الواجهة الرئيسية'!F8,IF(C5="متوسط","تطوير: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" s="73">
        <f>IF(C5="ضعيف","تدريبات مكثفة – نماذج سابقة",IF(C5="متوسط","أنشطة تفاعلية – أوراق عمل","مشاريع بحثية – مسابقات نافس"))</f>
        <v/>
      </c>
      <c r="G5" s="32" t="inlineStr"/>
      <c r="H5" s="32" t="inlineStr"/>
    </row>
    <row r="6" ht="22" customHeight="1">
      <c r="A6" s="46" t="n">
        <v>2</v>
      </c>
      <c r="B6" s="47">
        <f>'قاعدة الأسماء'!B6</f>
        <v/>
      </c>
      <c r="C6" s="51">
        <f>'الاختبار البعدي'!O7</f>
        <v/>
      </c>
      <c r="D6" s="74">
        <f>IF(C6="ضعيف","خطة علاجية",IF(C6="متوسط","خطة تطويرية","خطة إثرائية"))</f>
        <v/>
      </c>
      <c r="E6" s="75">
        <f>IF(C6="ضعيف","تركيز على: " &amp; 'الواجهة الرئيسية'!B8 &amp; " و " &amp; 'الواجهة الرئيسية'!F8,IF(C6="متوسط","تطوير: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" s="75">
        <f>IF(C6="ضعيف","تدريبات مكثفة – نماذج سابقة",IF(C6="متوسط","أنشطة تفاعلية – أوراق عمل","مشاريع بحثية – مسابقات نافس"))</f>
        <v/>
      </c>
      <c r="G6" s="48" t="inlineStr"/>
      <c r="H6" s="48" t="inlineStr"/>
    </row>
    <row r="7" ht="22" customHeight="1">
      <c r="A7" s="30" t="n">
        <v>3</v>
      </c>
      <c r="B7" s="31">
        <f>'قاعدة الأسماء'!B7</f>
        <v/>
      </c>
      <c r="C7" s="45">
        <f>'الاختبار البعدي'!O8</f>
        <v/>
      </c>
      <c r="D7" s="72">
        <f>IF(C7="ضعيف","خطة علاجية",IF(C7="متوسط","خطة تطويرية","خطة إثرائية"))</f>
        <v/>
      </c>
      <c r="E7" s="73">
        <f>IF(C7="ضعيف","تركيز على: " &amp; 'الواجهة الرئيسية'!B8 &amp; " و " &amp; 'الواجهة الرئيسية'!F8,IF(C7="متوسط","تطوير: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" s="73">
        <f>IF(C7="ضعيف","تدريبات مكثفة – نماذج سابقة",IF(C7="متوسط","أنشطة تفاعلية – أوراق عمل","مشاريع بحثية – مسابقات نافس"))</f>
        <v/>
      </c>
      <c r="G7" s="32" t="inlineStr"/>
      <c r="H7" s="32" t="inlineStr"/>
    </row>
    <row r="8" ht="22" customHeight="1">
      <c r="A8" s="46" t="n">
        <v>4</v>
      </c>
      <c r="B8" s="47">
        <f>'قاعدة الأسماء'!B8</f>
        <v/>
      </c>
      <c r="C8" s="51">
        <f>'الاختبار البعدي'!O9</f>
        <v/>
      </c>
      <c r="D8" s="74">
        <f>IF(C8="ضعيف","خطة علاجية",IF(C8="متوسط","خطة تطويرية","خطة إثرائية"))</f>
        <v/>
      </c>
      <c r="E8" s="75">
        <f>IF(C8="ضعيف","تركيز على: " &amp; 'الواجهة الرئيسية'!B8 &amp; " و " &amp; 'الواجهة الرئيسية'!F8,IF(C8="متوسط","تطوير: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" s="75">
        <f>IF(C8="ضعيف","تدريبات مكثفة – نماذج سابقة",IF(C8="متوسط","أنشطة تفاعلية – أوراق عمل","مشاريع بحثية – مسابقات نافس"))</f>
        <v/>
      </c>
      <c r="G8" s="48" t="inlineStr"/>
      <c r="H8" s="48" t="inlineStr"/>
    </row>
    <row r="9" ht="22" customHeight="1">
      <c r="A9" s="30" t="n">
        <v>5</v>
      </c>
      <c r="B9" s="31">
        <f>'قاعدة الأسماء'!B9</f>
        <v/>
      </c>
      <c r="C9" s="45">
        <f>'الاختبار البعدي'!O10</f>
        <v/>
      </c>
      <c r="D9" s="72">
        <f>IF(C9="ضعيف","خطة علاجية",IF(C9="متوسط","خطة تطويرية","خطة إثرائية"))</f>
        <v/>
      </c>
      <c r="E9" s="73">
        <f>IF(C9="ضعيف","تركيز على: " &amp; 'الواجهة الرئيسية'!B8 &amp; " و " &amp; 'الواجهة الرئيسية'!F8,IF(C9="متوسط","تطوير: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" s="73">
        <f>IF(C9="ضعيف","تدريبات مكثفة – نماذج سابقة",IF(C9="متوسط","أنشطة تفاعلية – أوراق عمل","مشاريع بحثية – مسابقات نافس"))</f>
        <v/>
      </c>
      <c r="G9" s="32" t="inlineStr"/>
      <c r="H9" s="32" t="inlineStr"/>
    </row>
    <row r="10" ht="22" customHeight="1">
      <c r="A10" s="46" t="n">
        <v>6</v>
      </c>
      <c r="B10" s="47">
        <f>'قاعدة الأسماء'!B10</f>
        <v/>
      </c>
      <c r="C10" s="51">
        <f>'الاختبار البعدي'!O11</f>
        <v/>
      </c>
      <c r="D10" s="74">
        <f>IF(C10="ضعيف","خطة علاجية",IF(C10="متوسط","خطة تطويرية","خطة إثرائية"))</f>
        <v/>
      </c>
      <c r="E10" s="75">
        <f>IF(C10="ضعيف","تركيز على: " &amp; 'الواجهة الرئيسية'!B8 &amp; " و " &amp; 'الواجهة الرئيسية'!F8,IF(C10="متوسط","تطوير: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0" s="75">
        <f>IF(C10="ضعيف","تدريبات مكثفة – نماذج سابقة",IF(C10="متوسط","أنشطة تفاعلية – أوراق عمل","مشاريع بحثية – مسابقات نافس"))</f>
        <v/>
      </c>
      <c r="G10" s="48" t="inlineStr"/>
      <c r="H10" s="48" t="inlineStr"/>
    </row>
    <row r="11" ht="22" customHeight="1">
      <c r="A11" s="30" t="n">
        <v>7</v>
      </c>
      <c r="B11" s="31">
        <f>'قاعدة الأسماء'!B11</f>
        <v/>
      </c>
      <c r="C11" s="45">
        <f>'الاختبار البعدي'!O12</f>
        <v/>
      </c>
      <c r="D11" s="72">
        <f>IF(C11="ضعيف","خطة علاجية",IF(C11="متوسط","خطة تطويرية","خطة إثرائية"))</f>
        <v/>
      </c>
      <c r="E11" s="73">
        <f>IF(C11="ضعيف","تركيز على: " &amp; 'الواجهة الرئيسية'!B8 &amp; " و " &amp; 'الواجهة الرئيسية'!F8,IF(C11="متوسط","تطوير: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1" s="73">
        <f>IF(C11="ضعيف","تدريبات مكثفة – نماذج سابقة",IF(C11="متوسط","أنشطة تفاعلية – أوراق عمل","مشاريع بحثية – مسابقات نافس"))</f>
        <v/>
      </c>
      <c r="G11" s="32" t="inlineStr"/>
      <c r="H11" s="32" t="inlineStr"/>
    </row>
    <row r="12" ht="22" customHeight="1">
      <c r="A12" s="46" t="n">
        <v>8</v>
      </c>
      <c r="B12" s="47">
        <f>'قاعدة الأسماء'!B12</f>
        <v/>
      </c>
      <c r="C12" s="51">
        <f>'الاختبار البعدي'!O13</f>
        <v/>
      </c>
      <c r="D12" s="74">
        <f>IF(C12="ضعيف","خطة علاجية",IF(C12="متوسط","خطة تطويرية","خطة إثرائية"))</f>
        <v/>
      </c>
      <c r="E12" s="75">
        <f>IF(C12="ضعيف","تركيز على: " &amp; 'الواجهة الرئيسية'!B8 &amp; " و " &amp; 'الواجهة الرئيسية'!F8,IF(C12="متوسط","تطوير: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2" s="75">
        <f>IF(C12="ضعيف","تدريبات مكثفة – نماذج سابقة",IF(C12="متوسط","أنشطة تفاعلية – أوراق عمل","مشاريع بحثية – مسابقات نافس"))</f>
        <v/>
      </c>
      <c r="G12" s="48" t="inlineStr"/>
      <c r="H12" s="48" t="inlineStr"/>
    </row>
    <row r="13" ht="22" customHeight="1">
      <c r="A13" s="30" t="n">
        <v>9</v>
      </c>
      <c r="B13" s="31">
        <f>'قاعدة الأسماء'!B13</f>
        <v/>
      </c>
      <c r="C13" s="45">
        <f>'الاختبار البعدي'!O14</f>
        <v/>
      </c>
      <c r="D13" s="72">
        <f>IF(C13="ضعيف","خطة علاجية",IF(C13="متوسط","خطة تطويرية","خطة إثرائية"))</f>
        <v/>
      </c>
      <c r="E13" s="73">
        <f>IF(C13="ضعيف","تركيز على: " &amp; 'الواجهة الرئيسية'!B8 &amp; " و " &amp; 'الواجهة الرئيسية'!F8,IF(C13="متوسط","تطوير: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3" s="73">
        <f>IF(C13="ضعيف","تدريبات مكثفة – نماذج سابقة",IF(C13="متوسط","أنشطة تفاعلية – أوراق عمل","مشاريع بحثية – مسابقات نافس"))</f>
        <v/>
      </c>
      <c r="G13" s="32" t="inlineStr"/>
      <c r="H13" s="32" t="inlineStr"/>
    </row>
    <row r="14" ht="22" customHeight="1">
      <c r="A14" s="46" t="n">
        <v>10</v>
      </c>
      <c r="B14" s="47">
        <f>'قاعدة الأسماء'!B14</f>
        <v/>
      </c>
      <c r="C14" s="51">
        <f>'الاختبار البعدي'!O15</f>
        <v/>
      </c>
      <c r="D14" s="74">
        <f>IF(C14="ضعيف","خطة علاجية",IF(C14="متوسط","خطة تطويرية","خطة إثرائية"))</f>
        <v/>
      </c>
      <c r="E14" s="75">
        <f>IF(C14="ضعيف","تركيز على: " &amp; 'الواجهة الرئيسية'!B8 &amp; " و " &amp; 'الواجهة الرئيسية'!F8,IF(C14="متوسط","تطوير: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4" s="75">
        <f>IF(C14="ضعيف","تدريبات مكثفة – نماذج سابقة",IF(C14="متوسط","أنشطة تفاعلية – أوراق عمل","مشاريع بحثية – مسابقات نافس"))</f>
        <v/>
      </c>
      <c r="G14" s="48" t="inlineStr"/>
      <c r="H14" s="48" t="inlineStr"/>
    </row>
    <row r="15" ht="22" customHeight="1">
      <c r="A15" s="30" t="n">
        <v>11</v>
      </c>
      <c r="B15" s="31">
        <f>'قاعدة الأسماء'!B15</f>
        <v/>
      </c>
      <c r="C15" s="45">
        <f>'الاختبار البعدي'!O16</f>
        <v/>
      </c>
      <c r="D15" s="72">
        <f>IF(C15="ضعيف","خطة علاجية",IF(C15="متوسط","خطة تطويرية","خطة إثرائية"))</f>
        <v/>
      </c>
      <c r="E15" s="73">
        <f>IF(C15="ضعيف","تركيز على: " &amp; 'الواجهة الرئيسية'!B8 &amp; " و " &amp; 'الواجهة الرئيسية'!F8,IF(C15="متوسط","تطوير: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5" s="73">
        <f>IF(C15="ضعيف","تدريبات مكثفة – نماذج سابقة",IF(C15="متوسط","أنشطة تفاعلية – أوراق عمل","مشاريع بحثية – مسابقات نافس"))</f>
        <v/>
      </c>
      <c r="G15" s="32" t="inlineStr"/>
      <c r="H15" s="32" t="inlineStr"/>
    </row>
    <row r="16" ht="22" customHeight="1">
      <c r="A16" s="46" t="n">
        <v>12</v>
      </c>
      <c r="B16" s="47">
        <f>'قاعدة الأسماء'!B16</f>
        <v/>
      </c>
      <c r="C16" s="51">
        <f>'الاختبار البعدي'!O17</f>
        <v/>
      </c>
      <c r="D16" s="74">
        <f>IF(C16="ضعيف","خطة علاجية",IF(C16="متوسط","خطة تطويرية","خطة إثرائية"))</f>
        <v/>
      </c>
      <c r="E16" s="75">
        <f>IF(C16="ضعيف","تركيز على: " &amp; 'الواجهة الرئيسية'!B8 &amp; " و " &amp; 'الواجهة الرئيسية'!F8,IF(C16="متوسط","تطوير: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6" s="75">
        <f>IF(C16="ضعيف","تدريبات مكثفة – نماذج سابقة",IF(C16="متوسط","أنشطة تفاعلية – أوراق عمل","مشاريع بحثية – مسابقات نافس"))</f>
        <v/>
      </c>
      <c r="G16" s="48" t="inlineStr"/>
      <c r="H16" s="48" t="inlineStr"/>
    </row>
    <row r="17" ht="22" customHeight="1">
      <c r="A17" s="30" t="n">
        <v>13</v>
      </c>
      <c r="B17" s="31">
        <f>'قاعدة الأسماء'!B17</f>
        <v/>
      </c>
      <c r="C17" s="45">
        <f>'الاختبار البعدي'!O18</f>
        <v/>
      </c>
      <c r="D17" s="72">
        <f>IF(C17="ضعيف","خطة علاجية",IF(C17="متوسط","خطة تطويرية","خطة إثرائية"))</f>
        <v/>
      </c>
      <c r="E17" s="73">
        <f>IF(C17="ضعيف","تركيز على: " &amp; 'الواجهة الرئيسية'!B8 &amp; " و " &amp; 'الواجهة الرئيسية'!F8,IF(C17="متوسط","تطوير: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7" s="73">
        <f>IF(C17="ضعيف","تدريبات مكثفة – نماذج سابقة",IF(C17="متوسط","أنشطة تفاعلية – أوراق عمل","مشاريع بحثية – مسابقات نافس"))</f>
        <v/>
      </c>
      <c r="G17" s="32" t="inlineStr"/>
      <c r="H17" s="32" t="inlineStr"/>
    </row>
    <row r="18" ht="22" customHeight="1">
      <c r="A18" s="46" t="n">
        <v>14</v>
      </c>
      <c r="B18" s="47">
        <f>'قاعدة الأسماء'!B18</f>
        <v/>
      </c>
      <c r="C18" s="51">
        <f>'الاختبار البعدي'!O19</f>
        <v/>
      </c>
      <c r="D18" s="74">
        <f>IF(C18="ضعيف","خطة علاجية",IF(C18="متوسط","خطة تطويرية","خطة إثرائية"))</f>
        <v/>
      </c>
      <c r="E18" s="75">
        <f>IF(C18="ضعيف","تركيز على: " &amp; 'الواجهة الرئيسية'!B8 &amp; " و " &amp; 'الواجهة الرئيسية'!F8,IF(C18="متوسط","تطوير: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8" s="75">
        <f>IF(C18="ضعيف","تدريبات مكثفة – نماذج سابقة",IF(C18="متوسط","أنشطة تفاعلية – أوراق عمل","مشاريع بحثية – مسابقات نافس"))</f>
        <v/>
      </c>
      <c r="G18" s="48" t="inlineStr"/>
      <c r="H18" s="48" t="inlineStr"/>
    </row>
    <row r="19" ht="22" customHeight="1">
      <c r="A19" s="30" t="n">
        <v>15</v>
      </c>
      <c r="B19" s="31">
        <f>'قاعدة الأسماء'!B19</f>
        <v/>
      </c>
      <c r="C19" s="45">
        <f>'الاختبار البعدي'!O20</f>
        <v/>
      </c>
      <c r="D19" s="72">
        <f>IF(C19="ضعيف","خطة علاجية",IF(C19="متوسط","خطة تطويرية","خطة إثرائية"))</f>
        <v/>
      </c>
      <c r="E19" s="73">
        <f>IF(C19="ضعيف","تركيز على: " &amp; 'الواجهة الرئيسية'!B8 &amp; " و " &amp; 'الواجهة الرئيسية'!F8,IF(C19="متوسط","تطوير: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9" s="73">
        <f>IF(C19="ضعيف","تدريبات مكثفة – نماذج سابقة",IF(C19="متوسط","أنشطة تفاعلية – أوراق عمل","مشاريع بحثية – مسابقات نافس"))</f>
        <v/>
      </c>
      <c r="G19" s="32" t="inlineStr"/>
      <c r="H19" s="32" t="inlineStr"/>
    </row>
    <row r="20" ht="22" customHeight="1">
      <c r="A20" s="46" t="n">
        <v>16</v>
      </c>
      <c r="B20" s="47">
        <f>'قاعدة الأسماء'!B20</f>
        <v/>
      </c>
      <c r="C20" s="51">
        <f>'الاختبار البعدي'!O21</f>
        <v/>
      </c>
      <c r="D20" s="74">
        <f>IF(C20="ضعيف","خطة علاجية",IF(C20="متوسط","خطة تطويرية","خطة إثرائية"))</f>
        <v/>
      </c>
      <c r="E20" s="75">
        <f>IF(C20="ضعيف","تركيز على: " &amp; 'الواجهة الرئيسية'!B8 &amp; " و " &amp; 'الواجهة الرئيسية'!F8,IF(C20="متوسط","تطوير: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0" s="75">
        <f>IF(C20="ضعيف","تدريبات مكثفة – نماذج سابقة",IF(C20="متوسط","أنشطة تفاعلية – أوراق عمل","مشاريع بحثية – مسابقات نافس"))</f>
        <v/>
      </c>
      <c r="G20" s="48" t="inlineStr"/>
      <c r="H20" s="48" t="inlineStr"/>
    </row>
    <row r="21" ht="22" customHeight="1">
      <c r="A21" s="30" t="n">
        <v>17</v>
      </c>
      <c r="B21" s="31">
        <f>'قاعدة الأسماء'!B21</f>
        <v/>
      </c>
      <c r="C21" s="45">
        <f>'الاختبار البعدي'!O22</f>
        <v/>
      </c>
      <c r="D21" s="72">
        <f>IF(C21="ضعيف","خطة علاجية",IF(C21="متوسط","خطة تطويرية","خطة إثرائية"))</f>
        <v/>
      </c>
      <c r="E21" s="73">
        <f>IF(C21="ضعيف","تركيز على: " &amp; 'الواجهة الرئيسية'!B8 &amp; " و " &amp; 'الواجهة الرئيسية'!F8,IF(C21="متوسط","تطوير: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1" s="73">
        <f>IF(C21="ضعيف","تدريبات مكثفة – نماذج سابقة",IF(C21="متوسط","أنشطة تفاعلية – أوراق عمل","مشاريع بحثية – مسابقات نافس"))</f>
        <v/>
      </c>
      <c r="G21" s="32" t="inlineStr"/>
      <c r="H21" s="32" t="inlineStr"/>
    </row>
    <row r="22" ht="22" customHeight="1">
      <c r="A22" s="46" t="n">
        <v>18</v>
      </c>
      <c r="B22" s="47">
        <f>'قاعدة الأسماء'!B22</f>
        <v/>
      </c>
      <c r="C22" s="51">
        <f>'الاختبار البعدي'!O23</f>
        <v/>
      </c>
      <c r="D22" s="74">
        <f>IF(C22="ضعيف","خطة علاجية",IF(C22="متوسط","خطة تطويرية","خطة إثرائية"))</f>
        <v/>
      </c>
      <c r="E22" s="75">
        <f>IF(C22="ضعيف","تركيز على: " &amp; 'الواجهة الرئيسية'!B8 &amp; " و " &amp; 'الواجهة الرئيسية'!F8,IF(C22="متوسط","تطوير: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2" s="75">
        <f>IF(C22="ضعيف","تدريبات مكثفة – نماذج سابقة",IF(C22="متوسط","أنشطة تفاعلية – أوراق عمل","مشاريع بحثية – مسابقات نافس"))</f>
        <v/>
      </c>
      <c r="G22" s="48" t="inlineStr"/>
      <c r="H22" s="48" t="inlineStr"/>
    </row>
    <row r="23" ht="22" customHeight="1">
      <c r="A23" s="30" t="n">
        <v>19</v>
      </c>
      <c r="B23" s="31">
        <f>'قاعدة الأسماء'!B23</f>
        <v/>
      </c>
      <c r="C23" s="45">
        <f>'الاختبار البعدي'!O24</f>
        <v/>
      </c>
      <c r="D23" s="72">
        <f>IF(C23="ضعيف","خطة علاجية",IF(C23="متوسط","خطة تطويرية","خطة إثرائية"))</f>
        <v/>
      </c>
      <c r="E23" s="73">
        <f>IF(C23="ضعيف","تركيز على: " &amp; 'الواجهة الرئيسية'!B8 &amp; " و " &amp; 'الواجهة الرئيسية'!F8,IF(C23="متوسط","تطوير: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3" s="73">
        <f>IF(C23="ضعيف","تدريبات مكثفة – نماذج سابقة",IF(C23="متوسط","أنشطة تفاعلية – أوراق عمل","مشاريع بحثية – مسابقات نافس"))</f>
        <v/>
      </c>
      <c r="G23" s="32" t="inlineStr"/>
      <c r="H23" s="32" t="inlineStr"/>
    </row>
    <row r="24" ht="22" customHeight="1">
      <c r="A24" s="46" t="n">
        <v>20</v>
      </c>
      <c r="B24" s="47">
        <f>'قاعدة الأسماء'!B24</f>
        <v/>
      </c>
      <c r="C24" s="51">
        <f>'الاختبار البعدي'!O25</f>
        <v/>
      </c>
      <c r="D24" s="74">
        <f>IF(C24="ضعيف","خطة علاجية",IF(C24="متوسط","خطة تطويرية","خطة إثرائية"))</f>
        <v/>
      </c>
      <c r="E24" s="75">
        <f>IF(C24="ضعيف","تركيز على: " &amp; 'الواجهة الرئيسية'!B8 &amp; " و " &amp; 'الواجهة الرئيسية'!F8,IF(C24="متوسط","تطوير: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4" s="75">
        <f>IF(C24="ضعيف","تدريبات مكثفة – نماذج سابقة",IF(C24="متوسط","أنشطة تفاعلية – أوراق عمل","مشاريع بحثية – مسابقات نافس"))</f>
        <v/>
      </c>
      <c r="G24" s="48" t="inlineStr"/>
      <c r="H24" s="48" t="inlineStr"/>
    </row>
    <row r="25" ht="22" customHeight="1">
      <c r="A25" s="30" t="n">
        <v>21</v>
      </c>
      <c r="B25" s="31">
        <f>'قاعدة الأسماء'!B25</f>
        <v/>
      </c>
      <c r="C25" s="45">
        <f>'الاختبار البعدي'!O26</f>
        <v/>
      </c>
      <c r="D25" s="72">
        <f>IF(C25="ضعيف","خطة علاجية",IF(C25="متوسط","خطة تطويرية","خطة إثرائية"))</f>
        <v/>
      </c>
      <c r="E25" s="73">
        <f>IF(C25="ضعيف","تركيز على: " &amp; 'الواجهة الرئيسية'!B8 &amp; " و " &amp; 'الواجهة الرئيسية'!F8,IF(C25="متوسط","تطوير: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5" s="73">
        <f>IF(C25="ضعيف","تدريبات مكثفة – نماذج سابقة",IF(C25="متوسط","أنشطة تفاعلية – أوراق عمل","مشاريع بحثية – مسابقات نافس"))</f>
        <v/>
      </c>
      <c r="G25" s="32" t="inlineStr"/>
      <c r="H25" s="32" t="inlineStr"/>
    </row>
    <row r="26" ht="22" customHeight="1">
      <c r="A26" s="46" t="n">
        <v>22</v>
      </c>
      <c r="B26" s="47">
        <f>'قاعدة الأسماء'!B26</f>
        <v/>
      </c>
      <c r="C26" s="51">
        <f>'الاختبار البعدي'!O27</f>
        <v/>
      </c>
      <c r="D26" s="74">
        <f>IF(C26="ضعيف","خطة علاجية",IF(C26="متوسط","خطة تطويرية","خطة إثرائية"))</f>
        <v/>
      </c>
      <c r="E26" s="75">
        <f>IF(C26="ضعيف","تركيز على: " &amp; 'الواجهة الرئيسية'!B8 &amp; " و " &amp; 'الواجهة الرئيسية'!F8,IF(C26="متوسط","تطوير: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6" s="75">
        <f>IF(C26="ضعيف","تدريبات مكثفة – نماذج سابقة",IF(C26="متوسط","أنشطة تفاعلية – أوراق عمل","مشاريع بحثية – مسابقات نافس"))</f>
        <v/>
      </c>
      <c r="G26" s="48" t="inlineStr"/>
      <c r="H26" s="48" t="inlineStr"/>
    </row>
    <row r="27" ht="22" customHeight="1">
      <c r="A27" s="30" t="n">
        <v>23</v>
      </c>
      <c r="B27" s="31">
        <f>'قاعدة الأسماء'!B27</f>
        <v/>
      </c>
      <c r="C27" s="45">
        <f>'الاختبار البعدي'!O28</f>
        <v/>
      </c>
      <c r="D27" s="72">
        <f>IF(C27="ضعيف","خطة علاجية",IF(C27="متوسط","خطة تطويرية","خطة إثرائية"))</f>
        <v/>
      </c>
      <c r="E27" s="73">
        <f>IF(C27="ضعيف","تركيز على: " &amp; 'الواجهة الرئيسية'!B8 &amp; " و " &amp; 'الواجهة الرئيسية'!F8,IF(C27="متوسط","تطوير: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7" s="73">
        <f>IF(C27="ضعيف","تدريبات مكثفة – نماذج سابقة",IF(C27="متوسط","أنشطة تفاعلية – أوراق عمل","مشاريع بحثية – مسابقات نافس"))</f>
        <v/>
      </c>
      <c r="G27" s="32" t="inlineStr"/>
      <c r="H27" s="32" t="inlineStr"/>
    </row>
    <row r="28" ht="22" customHeight="1">
      <c r="A28" s="46" t="n">
        <v>24</v>
      </c>
      <c r="B28" s="47">
        <f>'قاعدة الأسماء'!B28</f>
        <v/>
      </c>
      <c r="C28" s="51">
        <f>'الاختبار البعدي'!O29</f>
        <v/>
      </c>
      <c r="D28" s="74">
        <f>IF(C28="ضعيف","خطة علاجية",IF(C28="متوسط","خطة تطويرية","خطة إثرائية"))</f>
        <v/>
      </c>
      <c r="E28" s="75">
        <f>IF(C28="ضعيف","تركيز على: " &amp; 'الواجهة الرئيسية'!B8 &amp; " و " &amp; 'الواجهة الرئيسية'!F8,IF(C28="متوسط","تطوير: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8" s="75">
        <f>IF(C28="ضعيف","تدريبات مكثفة – نماذج سابقة",IF(C28="متوسط","أنشطة تفاعلية – أوراق عمل","مشاريع بحثية – مسابقات نافس"))</f>
        <v/>
      </c>
      <c r="G28" s="48" t="inlineStr"/>
      <c r="H28" s="48" t="inlineStr"/>
    </row>
    <row r="29" ht="22" customHeight="1">
      <c r="A29" s="30" t="n">
        <v>25</v>
      </c>
      <c r="B29" s="31">
        <f>'قاعدة الأسماء'!B29</f>
        <v/>
      </c>
      <c r="C29" s="45">
        <f>'الاختبار البعدي'!O30</f>
        <v/>
      </c>
      <c r="D29" s="72">
        <f>IF(C29="ضعيف","خطة علاجية",IF(C29="متوسط","خطة تطويرية","خطة إثرائية"))</f>
        <v/>
      </c>
      <c r="E29" s="73">
        <f>IF(C29="ضعيف","تركيز على: " &amp; 'الواجهة الرئيسية'!B8 &amp; " و " &amp; 'الواجهة الرئيسية'!F8,IF(C29="متوسط","تطوير: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9" s="73">
        <f>IF(C29="ضعيف","تدريبات مكثفة – نماذج سابقة",IF(C29="متوسط","أنشطة تفاعلية – أوراق عمل","مشاريع بحثية – مسابقات نافس"))</f>
        <v/>
      </c>
      <c r="G29" s="32" t="inlineStr"/>
      <c r="H29" s="32" t="inlineStr"/>
    </row>
    <row r="30" ht="22" customHeight="1">
      <c r="A30" s="46" t="n">
        <v>26</v>
      </c>
      <c r="B30" s="47">
        <f>'قاعدة الأسماء'!B30</f>
        <v/>
      </c>
      <c r="C30" s="51">
        <f>'الاختبار البعدي'!O31</f>
        <v/>
      </c>
      <c r="D30" s="74">
        <f>IF(C30="ضعيف","خطة علاجية",IF(C30="متوسط","خطة تطويرية","خطة إثرائية"))</f>
        <v/>
      </c>
      <c r="E30" s="75">
        <f>IF(C30="ضعيف","تركيز على: " &amp; 'الواجهة الرئيسية'!B8 &amp; " و " &amp; 'الواجهة الرئيسية'!F8,IF(C30="متوسط","تطوير: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0" s="75">
        <f>IF(C30="ضعيف","تدريبات مكثفة – نماذج سابقة",IF(C30="متوسط","أنشطة تفاعلية – أوراق عمل","مشاريع بحثية – مسابقات نافس"))</f>
        <v/>
      </c>
      <c r="G30" s="48" t="inlineStr"/>
      <c r="H30" s="48" t="inlineStr"/>
    </row>
    <row r="31" ht="22" customHeight="1">
      <c r="A31" s="30" t="n">
        <v>27</v>
      </c>
      <c r="B31" s="31">
        <f>'قاعدة الأسماء'!B31</f>
        <v/>
      </c>
      <c r="C31" s="45">
        <f>'الاختبار البعدي'!O32</f>
        <v/>
      </c>
      <c r="D31" s="72">
        <f>IF(C31="ضعيف","خطة علاجية",IF(C31="متوسط","خطة تطويرية","خطة إثرائية"))</f>
        <v/>
      </c>
      <c r="E31" s="73">
        <f>IF(C31="ضعيف","تركيز على: " &amp; 'الواجهة الرئيسية'!B8 &amp; " و " &amp; 'الواجهة الرئيسية'!F8,IF(C31="متوسط","تطوير: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1" s="73">
        <f>IF(C31="ضعيف","تدريبات مكثفة – نماذج سابقة",IF(C31="متوسط","أنشطة تفاعلية – أوراق عمل","مشاريع بحثية – مسابقات نافس"))</f>
        <v/>
      </c>
      <c r="G31" s="32" t="inlineStr"/>
      <c r="H31" s="32" t="inlineStr"/>
    </row>
    <row r="32" ht="22" customHeight="1">
      <c r="A32" s="46" t="n">
        <v>28</v>
      </c>
      <c r="B32" s="47">
        <f>'قاعدة الأسماء'!B32</f>
        <v/>
      </c>
      <c r="C32" s="51">
        <f>'الاختبار البعدي'!O33</f>
        <v/>
      </c>
      <c r="D32" s="74">
        <f>IF(C32="ضعيف","خطة علاجية",IF(C32="متوسط","خطة تطويرية","خطة إثرائية"))</f>
        <v/>
      </c>
      <c r="E32" s="75">
        <f>IF(C32="ضعيف","تركيز على: " &amp; 'الواجهة الرئيسية'!B8 &amp; " و " &amp; 'الواجهة الرئيسية'!F8,IF(C32="متوسط","تطوير: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2" s="75">
        <f>IF(C32="ضعيف","تدريبات مكثفة – نماذج سابقة",IF(C32="متوسط","أنشطة تفاعلية – أوراق عمل","مشاريع بحثية – مسابقات نافس"))</f>
        <v/>
      </c>
      <c r="G32" s="48" t="inlineStr"/>
      <c r="H32" s="48" t="inlineStr"/>
    </row>
    <row r="33" ht="22" customHeight="1">
      <c r="A33" s="30" t="n">
        <v>29</v>
      </c>
      <c r="B33" s="31">
        <f>'قاعدة الأسماء'!B33</f>
        <v/>
      </c>
      <c r="C33" s="45">
        <f>'الاختبار البعدي'!O34</f>
        <v/>
      </c>
      <c r="D33" s="72">
        <f>IF(C33="ضعيف","خطة علاجية",IF(C33="متوسط","خطة تطويرية","خطة إثرائية"))</f>
        <v/>
      </c>
      <c r="E33" s="73">
        <f>IF(C33="ضعيف","تركيز على: " &amp; 'الواجهة الرئيسية'!B8 &amp; " و " &amp; 'الواجهة الرئيسية'!F8,IF(C33="متوسط","تطوير: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3" s="73">
        <f>IF(C33="ضعيف","تدريبات مكثفة – نماذج سابقة",IF(C33="متوسط","أنشطة تفاعلية – أوراق عمل","مشاريع بحثية – مسابقات نافس"))</f>
        <v/>
      </c>
      <c r="G33" s="32" t="inlineStr"/>
      <c r="H33" s="32" t="inlineStr"/>
    </row>
    <row r="34" ht="22" customHeight="1">
      <c r="A34" s="46" t="n">
        <v>30</v>
      </c>
      <c r="B34" s="47">
        <f>'قاعدة الأسماء'!B34</f>
        <v/>
      </c>
      <c r="C34" s="51">
        <f>'الاختبار البعدي'!O35</f>
        <v/>
      </c>
      <c r="D34" s="74">
        <f>IF(C34="ضعيف","خطة علاجية",IF(C34="متوسط","خطة تطويرية","خطة إثرائية"))</f>
        <v/>
      </c>
      <c r="E34" s="75">
        <f>IF(C34="ضعيف","تركيز على: " &amp; 'الواجهة الرئيسية'!B8 &amp; " و " &amp; 'الواجهة الرئيسية'!F8,IF(C34="متوسط","تطوير: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4" s="75">
        <f>IF(C34="ضعيف","تدريبات مكثفة – نماذج سابقة",IF(C34="متوسط","أنشطة تفاعلية – أوراق عمل","مشاريع بحثية – مسابقات نافس"))</f>
        <v/>
      </c>
      <c r="G34" s="48" t="inlineStr"/>
      <c r="H34" s="48" t="inlineStr"/>
    </row>
    <row r="35" ht="22" customHeight="1">
      <c r="A35" s="30" t="n">
        <v>31</v>
      </c>
      <c r="B35" s="31">
        <f>'قاعدة الأسماء'!B35</f>
        <v/>
      </c>
      <c r="C35" s="45">
        <f>'الاختبار البعدي'!O36</f>
        <v/>
      </c>
      <c r="D35" s="72">
        <f>IF(C35="ضعيف","خطة علاجية",IF(C35="متوسط","خطة تطويرية","خطة إثرائية"))</f>
        <v/>
      </c>
      <c r="E35" s="73">
        <f>IF(C35="ضعيف","تركيز على: " &amp; 'الواجهة الرئيسية'!B8 &amp; " و " &amp; 'الواجهة الرئيسية'!F8,IF(C35="متوسط","تطوير: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5" s="73">
        <f>IF(C35="ضعيف","تدريبات مكثفة – نماذج سابقة",IF(C35="متوسط","أنشطة تفاعلية – أوراق عمل","مشاريع بحثية – مسابقات نافس"))</f>
        <v/>
      </c>
      <c r="G35" s="32" t="inlineStr"/>
      <c r="H35" s="32" t="inlineStr"/>
    </row>
    <row r="36" ht="22" customHeight="1">
      <c r="A36" s="46" t="n">
        <v>32</v>
      </c>
      <c r="B36" s="47">
        <f>'قاعدة الأسماء'!B36</f>
        <v/>
      </c>
      <c r="C36" s="51">
        <f>'الاختبار البعدي'!O37</f>
        <v/>
      </c>
      <c r="D36" s="74">
        <f>IF(C36="ضعيف","خطة علاجية",IF(C36="متوسط","خطة تطويرية","خطة إثرائية"))</f>
        <v/>
      </c>
      <c r="E36" s="75">
        <f>IF(C36="ضعيف","تركيز على: " &amp; 'الواجهة الرئيسية'!B8 &amp; " و " &amp; 'الواجهة الرئيسية'!F8,IF(C36="متوسط","تطوير: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6" s="75">
        <f>IF(C36="ضعيف","تدريبات مكثفة – نماذج سابقة",IF(C36="متوسط","أنشطة تفاعلية – أوراق عمل","مشاريع بحثية – مسابقات نافس"))</f>
        <v/>
      </c>
      <c r="G36" s="48" t="inlineStr"/>
      <c r="H36" s="48" t="inlineStr"/>
    </row>
    <row r="37" ht="22" customHeight="1">
      <c r="A37" s="30" t="n">
        <v>33</v>
      </c>
      <c r="B37" s="31">
        <f>'قاعدة الأسماء'!B37</f>
        <v/>
      </c>
      <c r="C37" s="45">
        <f>'الاختبار البعدي'!O38</f>
        <v/>
      </c>
      <c r="D37" s="72">
        <f>IF(C37="ضعيف","خطة علاجية",IF(C37="متوسط","خطة تطويرية","خطة إثرائية"))</f>
        <v/>
      </c>
      <c r="E37" s="73">
        <f>IF(C37="ضعيف","تركيز على: " &amp; 'الواجهة الرئيسية'!B8 &amp; " و " &amp; 'الواجهة الرئيسية'!F8,IF(C37="متوسط","تطوير: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7" s="73">
        <f>IF(C37="ضعيف","تدريبات مكثفة – نماذج سابقة",IF(C37="متوسط","أنشطة تفاعلية – أوراق عمل","مشاريع بحثية – مسابقات نافس"))</f>
        <v/>
      </c>
      <c r="G37" s="32" t="inlineStr"/>
      <c r="H37" s="32" t="inlineStr"/>
    </row>
    <row r="38" ht="22" customHeight="1">
      <c r="A38" s="46" t="n">
        <v>34</v>
      </c>
      <c r="B38" s="47">
        <f>'قاعدة الأسماء'!B38</f>
        <v/>
      </c>
      <c r="C38" s="51">
        <f>'الاختبار البعدي'!O39</f>
        <v/>
      </c>
      <c r="D38" s="74">
        <f>IF(C38="ضعيف","خطة علاجية",IF(C38="متوسط","خطة تطويرية","خطة إثرائية"))</f>
        <v/>
      </c>
      <c r="E38" s="75">
        <f>IF(C38="ضعيف","تركيز على: " &amp; 'الواجهة الرئيسية'!B8 &amp; " و " &amp; 'الواجهة الرئيسية'!F8,IF(C38="متوسط","تطوير: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8" s="75">
        <f>IF(C38="ضعيف","تدريبات مكثفة – نماذج سابقة",IF(C38="متوسط","أنشطة تفاعلية – أوراق عمل","مشاريع بحثية – مسابقات نافس"))</f>
        <v/>
      </c>
      <c r="G38" s="48" t="inlineStr"/>
      <c r="H38" s="48" t="inlineStr"/>
    </row>
    <row r="39" ht="22" customHeight="1">
      <c r="A39" s="30" t="n">
        <v>35</v>
      </c>
      <c r="B39" s="31">
        <f>'قاعدة الأسماء'!B39</f>
        <v/>
      </c>
      <c r="C39" s="45">
        <f>'الاختبار البعدي'!O40</f>
        <v/>
      </c>
      <c r="D39" s="72">
        <f>IF(C39="ضعيف","خطة علاجية",IF(C39="متوسط","خطة تطويرية","خطة إثرائية"))</f>
        <v/>
      </c>
      <c r="E39" s="73">
        <f>IF(C39="ضعيف","تركيز على: " &amp; 'الواجهة الرئيسية'!B8 &amp; " و " &amp; 'الواجهة الرئيسية'!F8,IF(C39="متوسط","تطوير: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9" s="73">
        <f>IF(C39="ضعيف","تدريبات مكثفة – نماذج سابقة",IF(C39="متوسط","أنشطة تفاعلية – أوراق عمل","مشاريع بحثية – مسابقات نافس"))</f>
        <v/>
      </c>
      <c r="G39" s="32" t="inlineStr"/>
      <c r="H39" s="32" t="inlineStr"/>
    </row>
    <row r="40" ht="22" customHeight="1">
      <c r="A40" s="46" t="n">
        <v>36</v>
      </c>
      <c r="B40" s="47">
        <f>'قاعدة الأسماء'!B40</f>
        <v/>
      </c>
      <c r="C40" s="51">
        <f>'الاختبار البعدي'!O41</f>
        <v/>
      </c>
      <c r="D40" s="74">
        <f>IF(C40="ضعيف","خطة علاجية",IF(C40="متوسط","خطة تطويرية","خطة إثرائية"))</f>
        <v/>
      </c>
      <c r="E40" s="75">
        <f>IF(C40="ضعيف","تركيز على: " &amp; 'الواجهة الرئيسية'!B8 &amp; " و " &amp; 'الواجهة الرئيسية'!F8,IF(C40="متوسط","تطوير: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0" s="75">
        <f>IF(C40="ضعيف","تدريبات مكثفة – نماذج سابقة",IF(C40="متوسط","أنشطة تفاعلية – أوراق عمل","مشاريع بحثية – مسابقات نافس"))</f>
        <v/>
      </c>
      <c r="G40" s="48" t="inlineStr"/>
      <c r="H40" s="48" t="inlineStr"/>
    </row>
    <row r="41" ht="22" customHeight="1">
      <c r="A41" s="30" t="n">
        <v>37</v>
      </c>
      <c r="B41" s="31">
        <f>'قاعدة الأسماء'!B41</f>
        <v/>
      </c>
      <c r="C41" s="45">
        <f>'الاختبار البعدي'!O42</f>
        <v/>
      </c>
      <c r="D41" s="72">
        <f>IF(C41="ضعيف","خطة علاجية",IF(C41="متوسط","خطة تطويرية","خطة إثرائية"))</f>
        <v/>
      </c>
      <c r="E41" s="73">
        <f>IF(C41="ضعيف","تركيز على: " &amp; 'الواجهة الرئيسية'!B8 &amp; " و " &amp; 'الواجهة الرئيسية'!F8,IF(C41="متوسط","تطوير: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1" s="73">
        <f>IF(C41="ضعيف","تدريبات مكثفة – نماذج سابقة",IF(C41="متوسط","أنشطة تفاعلية – أوراق عمل","مشاريع بحثية – مسابقات نافس"))</f>
        <v/>
      </c>
      <c r="G41" s="32" t="inlineStr"/>
      <c r="H41" s="32" t="inlineStr"/>
    </row>
    <row r="42" ht="22" customHeight="1">
      <c r="A42" s="46" t="n">
        <v>38</v>
      </c>
      <c r="B42" s="47">
        <f>'قاعدة الأسماء'!B42</f>
        <v/>
      </c>
      <c r="C42" s="51">
        <f>'الاختبار البعدي'!O43</f>
        <v/>
      </c>
      <c r="D42" s="74">
        <f>IF(C42="ضعيف","خطة علاجية",IF(C42="متوسط","خطة تطويرية","خطة إثرائية"))</f>
        <v/>
      </c>
      <c r="E42" s="75">
        <f>IF(C42="ضعيف","تركيز على: " &amp; 'الواجهة الرئيسية'!B8 &amp; " و " &amp; 'الواجهة الرئيسية'!F8,IF(C42="متوسط","تطوير: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2" s="75">
        <f>IF(C42="ضعيف","تدريبات مكثفة – نماذج سابقة",IF(C42="متوسط","أنشطة تفاعلية – أوراق عمل","مشاريع بحثية – مسابقات نافس"))</f>
        <v/>
      </c>
      <c r="G42" s="48" t="inlineStr"/>
      <c r="H42" s="48" t="inlineStr"/>
    </row>
    <row r="43" ht="22" customHeight="1">
      <c r="A43" s="30" t="n">
        <v>39</v>
      </c>
      <c r="B43" s="31">
        <f>'قاعدة الأسماء'!B43</f>
        <v/>
      </c>
      <c r="C43" s="45">
        <f>'الاختبار البعدي'!O44</f>
        <v/>
      </c>
      <c r="D43" s="72">
        <f>IF(C43="ضعيف","خطة علاجية",IF(C43="متوسط","خطة تطويرية","خطة إثرائية"))</f>
        <v/>
      </c>
      <c r="E43" s="73">
        <f>IF(C43="ضعيف","تركيز على: " &amp; 'الواجهة الرئيسية'!B8 &amp; " و " &amp; 'الواجهة الرئيسية'!F8,IF(C43="متوسط","تطوير: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3" s="73">
        <f>IF(C43="ضعيف","تدريبات مكثفة – نماذج سابقة",IF(C43="متوسط","أنشطة تفاعلية – أوراق عمل","مشاريع بحثية – مسابقات نافس"))</f>
        <v/>
      </c>
      <c r="G43" s="32" t="inlineStr"/>
      <c r="H43" s="32" t="inlineStr"/>
    </row>
    <row r="44" ht="22" customHeight="1">
      <c r="A44" s="46" t="n">
        <v>40</v>
      </c>
      <c r="B44" s="47">
        <f>'قاعدة الأسماء'!B44</f>
        <v/>
      </c>
      <c r="C44" s="51">
        <f>'الاختبار البعدي'!O45</f>
        <v/>
      </c>
      <c r="D44" s="74">
        <f>IF(C44="ضعيف","خطة علاجية",IF(C44="متوسط","خطة تطويرية","خطة إثرائية"))</f>
        <v/>
      </c>
      <c r="E44" s="75">
        <f>IF(C44="ضعيف","تركيز على: " &amp; 'الواجهة الرئيسية'!B8 &amp; " و " &amp; 'الواجهة الرئيسية'!F8,IF(C44="متوسط","تطوير: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4" s="75">
        <f>IF(C44="ضعيف","تدريبات مكثفة – نماذج سابقة",IF(C44="متوسط","أنشطة تفاعلية – أوراق عمل","مشاريع بحثية – مسابقات نافس"))</f>
        <v/>
      </c>
      <c r="G44" s="48" t="inlineStr"/>
      <c r="H44" s="48" t="inlineStr"/>
    </row>
    <row r="45" ht="22" customHeight="1">
      <c r="A45" s="30" t="n">
        <v>41</v>
      </c>
      <c r="B45" s="31">
        <f>'قاعدة الأسماء'!B45</f>
        <v/>
      </c>
      <c r="C45" s="45">
        <f>'الاختبار البعدي'!O46</f>
        <v/>
      </c>
      <c r="D45" s="72">
        <f>IF(C45="ضعيف","خطة علاجية",IF(C45="متوسط","خطة تطويرية","خطة إثرائية"))</f>
        <v/>
      </c>
      <c r="E45" s="73">
        <f>IF(C45="ضعيف","تركيز على: " &amp; 'الواجهة الرئيسية'!B8 &amp; " و " &amp; 'الواجهة الرئيسية'!F8,IF(C45="متوسط","تطوير: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5" s="73">
        <f>IF(C45="ضعيف","تدريبات مكثفة – نماذج سابقة",IF(C45="متوسط","أنشطة تفاعلية – أوراق عمل","مشاريع بحثية – مسابقات نافس"))</f>
        <v/>
      </c>
      <c r="G45" s="32" t="inlineStr"/>
      <c r="H45" s="32" t="inlineStr"/>
    </row>
    <row r="46" ht="22" customHeight="1">
      <c r="A46" s="46" t="n">
        <v>42</v>
      </c>
      <c r="B46" s="47">
        <f>'قاعدة الأسماء'!B46</f>
        <v/>
      </c>
      <c r="C46" s="51">
        <f>'الاختبار البعدي'!O47</f>
        <v/>
      </c>
      <c r="D46" s="74">
        <f>IF(C46="ضعيف","خطة علاجية",IF(C46="متوسط","خطة تطويرية","خطة إثرائية"))</f>
        <v/>
      </c>
      <c r="E46" s="75">
        <f>IF(C46="ضعيف","تركيز على: " &amp; 'الواجهة الرئيسية'!B8 &amp; " و " &amp; 'الواجهة الرئيسية'!F8,IF(C46="متوسط","تطوير: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6" s="75">
        <f>IF(C46="ضعيف","تدريبات مكثفة – نماذج سابقة",IF(C46="متوسط","أنشطة تفاعلية – أوراق عمل","مشاريع بحثية – مسابقات نافس"))</f>
        <v/>
      </c>
      <c r="G46" s="48" t="inlineStr"/>
      <c r="H46" s="48" t="inlineStr"/>
    </row>
    <row r="47" ht="22" customHeight="1">
      <c r="A47" s="30" t="n">
        <v>43</v>
      </c>
      <c r="B47" s="31">
        <f>'قاعدة الأسماء'!B47</f>
        <v/>
      </c>
      <c r="C47" s="45">
        <f>'الاختبار البعدي'!O48</f>
        <v/>
      </c>
      <c r="D47" s="72">
        <f>IF(C47="ضعيف","خطة علاجية",IF(C47="متوسط","خطة تطويرية","خطة إثرائية"))</f>
        <v/>
      </c>
      <c r="E47" s="73">
        <f>IF(C47="ضعيف","تركيز على: " &amp; 'الواجهة الرئيسية'!B8 &amp; " و " &amp; 'الواجهة الرئيسية'!F8,IF(C47="متوسط","تطوير: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7" s="73">
        <f>IF(C47="ضعيف","تدريبات مكثفة – نماذج سابقة",IF(C47="متوسط","أنشطة تفاعلية – أوراق عمل","مشاريع بحثية – مسابقات نافس"))</f>
        <v/>
      </c>
      <c r="G47" s="32" t="inlineStr"/>
      <c r="H47" s="32" t="inlineStr"/>
    </row>
    <row r="48" ht="22" customHeight="1">
      <c r="A48" s="46" t="n">
        <v>44</v>
      </c>
      <c r="B48" s="47">
        <f>'قاعدة الأسماء'!B48</f>
        <v/>
      </c>
      <c r="C48" s="51">
        <f>'الاختبار البعدي'!O49</f>
        <v/>
      </c>
      <c r="D48" s="74">
        <f>IF(C48="ضعيف","خطة علاجية",IF(C48="متوسط","خطة تطويرية","خطة إثرائية"))</f>
        <v/>
      </c>
      <c r="E48" s="75">
        <f>IF(C48="ضعيف","تركيز على: " &amp; 'الواجهة الرئيسية'!B8 &amp; " و " &amp; 'الواجهة الرئيسية'!F8,IF(C48="متوسط","تطوير: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8" s="75">
        <f>IF(C48="ضعيف","تدريبات مكثفة – نماذج سابقة",IF(C48="متوسط","أنشطة تفاعلية – أوراق عمل","مشاريع بحثية – مسابقات نافس"))</f>
        <v/>
      </c>
      <c r="G48" s="48" t="inlineStr"/>
      <c r="H48" s="48" t="inlineStr"/>
    </row>
    <row r="49" ht="22" customHeight="1">
      <c r="A49" s="30" t="n">
        <v>45</v>
      </c>
      <c r="B49" s="31">
        <f>'قاعدة الأسماء'!B49</f>
        <v/>
      </c>
      <c r="C49" s="45">
        <f>'الاختبار البعدي'!O50</f>
        <v/>
      </c>
      <c r="D49" s="72">
        <f>IF(C49="ضعيف","خطة علاجية",IF(C49="متوسط","خطة تطويرية","خطة إثرائية"))</f>
        <v/>
      </c>
      <c r="E49" s="73">
        <f>IF(C49="ضعيف","تركيز على: " &amp; 'الواجهة الرئيسية'!B8 &amp; " و " &amp; 'الواجهة الرئيسية'!F8,IF(C49="متوسط","تطوير: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9" s="73">
        <f>IF(C49="ضعيف","تدريبات مكثفة – نماذج سابقة",IF(C49="متوسط","أنشطة تفاعلية – أوراق عمل","مشاريع بحثية – مسابقات نافس"))</f>
        <v/>
      </c>
      <c r="G49" s="32" t="inlineStr"/>
      <c r="H49" s="32" t="inlineStr"/>
    </row>
    <row r="50" ht="22" customHeight="1">
      <c r="A50" s="46" t="n">
        <v>46</v>
      </c>
      <c r="B50" s="47">
        <f>'قاعدة الأسماء'!B50</f>
        <v/>
      </c>
      <c r="C50" s="51">
        <f>'الاختبار البعدي'!O51</f>
        <v/>
      </c>
      <c r="D50" s="74">
        <f>IF(C50="ضعيف","خطة علاجية",IF(C50="متوسط","خطة تطويرية","خطة إثرائية"))</f>
        <v/>
      </c>
      <c r="E50" s="75">
        <f>IF(C50="ضعيف","تركيز على: " &amp; 'الواجهة الرئيسية'!B8 &amp; " و " &amp; 'الواجهة الرئيسية'!F8,IF(C50="متوسط","تطوير: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0" s="75">
        <f>IF(C50="ضعيف","تدريبات مكثفة – نماذج سابقة",IF(C50="متوسط","أنشطة تفاعلية – أوراق عمل","مشاريع بحثية – مسابقات نافس"))</f>
        <v/>
      </c>
      <c r="G50" s="48" t="inlineStr"/>
      <c r="H50" s="48" t="inlineStr"/>
    </row>
    <row r="51" ht="22" customHeight="1">
      <c r="A51" s="30" t="n">
        <v>47</v>
      </c>
      <c r="B51" s="31">
        <f>'قاعدة الأسماء'!B51</f>
        <v/>
      </c>
      <c r="C51" s="45">
        <f>'الاختبار البعدي'!O52</f>
        <v/>
      </c>
      <c r="D51" s="72">
        <f>IF(C51="ضعيف","خطة علاجية",IF(C51="متوسط","خطة تطويرية","خطة إثرائية"))</f>
        <v/>
      </c>
      <c r="E51" s="73">
        <f>IF(C51="ضعيف","تركيز على: " &amp; 'الواجهة الرئيسية'!B8 &amp; " و " &amp; 'الواجهة الرئيسية'!F8,IF(C51="متوسط","تطوير: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1" s="73">
        <f>IF(C51="ضعيف","تدريبات مكثفة – نماذج سابقة",IF(C51="متوسط","أنشطة تفاعلية – أوراق عمل","مشاريع بحثية – مسابقات نافس"))</f>
        <v/>
      </c>
      <c r="G51" s="32" t="inlineStr"/>
      <c r="H51" s="32" t="inlineStr"/>
    </row>
    <row r="52" ht="22" customHeight="1">
      <c r="A52" s="46" t="n">
        <v>48</v>
      </c>
      <c r="B52" s="47">
        <f>'قاعدة الأسماء'!B52</f>
        <v/>
      </c>
      <c r="C52" s="51">
        <f>'الاختبار البعدي'!O53</f>
        <v/>
      </c>
      <c r="D52" s="74">
        <f>IF(C52="ضعيف","خطة علاجية",IF(C52="متوسط","خطة تطويرية","خطة إثرائية"))</f>
        <v/>
      </c>
      <c r="E52" s="75">
        <f>IF(C52="ضعيف","تركيز على: " &amp; 'الواجهة الرئيسية'!B8 &amp; " و " &amp; 'الواجهة الرئيسية'!F8,IF(C52="متوسط","تطوير: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2" s="75">
        <f>IF(C52="ضعيف","تدريبات مكثفة – نماذج سابقة",IF(C52="متوسط","أنشطة تفاعلية – أوراق عمل","مشاريع بحثية – مسابقات نافس"))</f>
        <v/>
      </c>
      <c r="G52" s="48" t="inlineStr"/>
      <c r="H52" s="48" t="inlineStr"/>
    </row>
    <row r="53" ht="22" customHeight="1">
      <c r="A53" s="30" t="n">
        <v>49</v>
      </c>
      <c r="B53" s="31">
        <f>'قاعدة الأسماء'!B53</f>
        <v/>
      </c>
      <c r="C53" s="45">
        <f>'الاختبار البعدي'!O54</f>
        <v/>
      </c>
      <c r="D53" s="72">
        <f>IF(C53="ضعيف","خطة علاجية",IF(C53="متوسط","خطة تطويرية","خطة إثرائية"))</f>
        <v/>
      </c>
      <c r="E53" s="73">
        <f>IF(C53="ضعيف","تركيز على: " &amp; 'الواجهة الرئيسية'!B8 &amp; " و " &amp; 'الواجهة الرئيسية'!F8,IF(C53="متوسط","تطوير: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3" s="73">
        <f>IF(C53="ضعيف","تدريبات مكثفة – نماذج سابقة",IF(C53="متوسط","أنشطة تفاعلية – أوراق عمل","مشاريع بحثية – مسابقات نافس"))</f>
        <v/>
      </c>
      <c r="G53" s="32" t="inlineStr"/>
      <c r="H53" s="32" t="inlineStr"/>
    </row>
    <row r="54" ht="22" customHeight="1">
      <c r="A54" s="46" t="n">
        <v>50</v>
      </c>
      <c r="B54" s="47">
        <f>'قاعدة الأسماء'!B54</f>
        <v/>
      </c>
      <c r="C54" s="51">
        <f>'الاختبار البعدي'!O55</f>
        <v/>
      </c>
      <c r="D54" s="74">
        <f>IF(C54="ضعيف","خطة علاجية",IF(C54="متوسط","خطة تطويرية","خطة إثرائية"))</f>
        <v/>
      </c>
      <c r="E54" s="75">
        <f>IF(C54="ضعيف","تركيز على: " &amp; 'الواجهة الرئيسية'!B8 &amp; " و " &amp; 'الواجهة الرئيسية'!F8,IF(C54="متوسط","تطوير: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4" s="75">
        <f>IF(C54="ضعيف","تدريبات مكثفة – نماذج سابقة",IF(C54="متوسط","أنشطة تفاعلية – أوراق عمل","مشاريع بحثية – مسابقات نافس"))</f>
        <v/>
      </c>
      <c r="G54" s="48" t="inlineStr"/>
      <c r="H54" s="48" t="inlineStr"/>
    </row>
    <row r="55" ht="22" customHeight="1">
      <c r="A55" s="30" t="n">
        <v>51</v>
      </c>
      <c r="B55" s="31">
        <f>'قاعدة الأسماء'!B55</f>
        <v/>
      </c>
      <c r="C55" s="45">
        <f>'الاختبار البعدي'!O56</f>
        <v/>
      </c>
      <c r="D55" s="72">
        <f>IF(C55="ضعيف","خطة علاجية",IF(C55="متوسط","خطة تطويرية","خطة إثرائية"))</f>
        <v/>
      </c>
      <c r="E55" s="73">
        <f>IF(C55="ضعيف","تركيز على: " &amp; 'الواجهة الرئيسية'!B8 &amp; " و " &amp; 'الواجهة الرئيسية'!F8,IF(C55="متوسط","تطوير: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5" s="73">
        <f>IF(C55="ضعيف","تدريبات مكثفة – نماذج سابقة",IF(C55="متوسط","أنشطة تفاعلية – أوراق عمل","مشاريع بحثية – مسابقات نافس"))</f>
        <v/>
      </c>
      <c r="G55" s="32" t="inlineStr"/>
      <c r="H55" s="32" t="inlineStr"/>
    </row>
    <row r="56" ht="22" customHeight="1">
      <c r="A56" s="46" t="n">
        <v>52</v>
      </c>
      <c r="B56" s="47">
        <f>'قاعدة الأسماء'!B56</f>
        <v/>
      </c>
      <c r="C56" s="51">
        <f>'الاختبار البعدي'!O57</f>
        <v/>
      </c>
      <c r="D56" s="74">
        <f>IF(C56="ضعيف","خطة علاجية",IF(C56="متوسط","خطة تطويرية","خطة إثرائية"))</f>
        <v/>
      </c>
      <c r="E56" s="75">
        <f>IF(C56="ضعيف","تركيز على: " &amp; 'الواجهة الرئيسية'!B8 &amp; " و " &amp; 'الواجهة الرئيسية'!F8,IF(C56="متوسط","تطوير: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6" s="75">
        <f>IF(C56="ضعيف","تدريبات مكثفة – نماذج سابقة",IF(C56="متوسط","أنشطة تفاعلية – أوراق عمل","مشاريع بحثية – مسابقات نافس"))</f>
        <v/>
      </c>
      <c r="G56" s="48" t="inlineStr"/>
      <c r="H56" s="48" t="inlineStr"/>
    </row>
    <row r="57" ht="22" customHeight="1">
      <c r="A57" s="30" t="n">
        <v>53</v>
      </c>
      <c r="B57" s="31">
        <f>'قاعدة الأسماء'!B57</f>
        <v/>
      </c>
      <c r="C57" s="45">
        <f>'الاختبار البعدي'!O58</f>
        <v/>
      </c>
      <c r="D57" s="72">
        <f>IF(C57="ضعيف","خطة علاجية",IF(C57="متوسط","خطة تطويرية","خطة إثرائية"))</f>
        <v/>
      </c>
      <c r="E57" s="73">
        <f>IF(C57="ضعيف","تركيز على: " &amp; 'الواجهة الرئيسية'!B8 &amp; " و " &amp; 'الواجهة الرئيسية'!F8,IF(C57="متوسط","تطوير: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7" s="73">
        <f>IF(C57="ضعيف","تدريبات مكثفة – نماذج سابقة",IF(C57="متوسط","أنشطة تفاعلية – أوراق عمل","مشاريع بحثية – مسابقات نافس"))</f>
        <v/>
      </c>
      <c r="G57" s="32" t="inlineStr"/>
      <c r="H57" s="32" t="inlineStr"/>
    </row>
    <row r="58" ht="22" customHeight="1">
      <c r="A58" s="46" t="n">
        <v>54</v>
      </c>
      <c r="B58" s="47">
        <f>'قاعدة الأسماء'!B58</f>
        <v/>
      </c>
      <c r="C58" s="51">
        <f>'الاختبار البعدي'!O59</f>
        <v/>
      </c>
      <c r="D58" s="74">
        <f>IF(C58="ضعيف","خطة علاجية",IF(C58="متوسط","خطة تطويرية","خطة إثرائية"))</f>
        <v/>
      </c>
      <c r="E58" s="75">
        <f>IF(C58="ضعيف","تركيز على: " &amp; 'الواجهة الرئيسية'!B8 &amp; " و " &amp; 'الواجهة الرئيسية'!F8,IF(C58="متوسط","تطوير: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8" s="75">
        <f>IF(C58="ضعيف","تدريبات مكثفة – نماذج سابقة",IF(C58="متوسط","أنشطة تفاعلية – أوراق عمل","مشاريع بحثية – مسابقات نافس"))</f>
        <v/>
      </c>
      <c r="G58" s="48" t="inlineStr"/>
      <c r="H58" s="48" t="inlineStr"/>
    </row>
    <row r="59" ht="22" customHeight="1">
      <c r="A59" s="30" t="n">
        <v>55</v>
      </c>
      <c r="B59" s="31">
        <f>'قاعدة الأسماء'!B59</f>
        <v/>
      </c>
      <c r="C59" s="45">
        <f>'الاختبار البعدي'!O60</f>
        <v/>
      </c>
      <c r="D59" s="72">
        <f>IF(C59="ضعيف","خطة علاجية",IF(C59="متوسط","خطة تطويرية","خطة إثرائية"))</f>
        <v/>
      </c>
      <c r="E59" s="73">
        <f>IF(C59="ضعيف","تركيز على: " &amp; 'الواجهة الرئيسية'!B8 &amp; " و " &amp; 'الواجهة الرئيسية'!F8,IF(C59="متوسط","تطوير: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9" s="73">
        <f>IF(C59="ضعيف","تدريبات مكثفة – نماذج سابقة",IF(C59="متوسط","أنشطة تفاعلية – أوراق عمل","مشاريع بحثية – مسابقات نافس"))</f>
        <v/>
      </c>
      <c r="G59" s="32" t="inlineStr"/>
      <c r="H59" s="32" t="inlineStr"/>
    </row>
    <row r="60" ht="22" customHeight="1">
      <c r="A60" s="46" t="n">
        <v>56</v>
      </c>
      <c r="B60" s="47">
        <f>'قاعدة الأسماء'!B60</f>
        <v/>
      </c>
      <c r="C60" s="51">
        <f>'الاختبار البعدي'!O61</f>
        <v/>
      </c>
      <c r="D60" s="74">
        <f>IF(C60="ضعيف","خطة علاجية",IF(C60="متوسط","خطة تطويرية","خطة إثرائية"))</f>
        <v/>
      </c>
      <c r="E60" s="75">
        <f>IF(C60="ضعيف","تركيز على: " &amp; 'الواجهة الرئيسية'!B8 &amp; " و " &amp; 'الواجهة الرئيسية'!F8,IF(C60="متوسط","تطوير: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0" s="75">
        <f>IF(C60="ضعيف","تدريبات مكثفة – نماذج سابقة",IF(C60="متوسط","أنشطة تفاعلية – أوراق عمل","مشاريع بحثية – مسابقات نافس"))</f>
        <v/>
      </c>
      <c r="G60" s="48" t="inlineStr"/>
      <c r="H60" s="48" t="inlineStr"/>
    </row>
    <row r="61" ht="22" customHeight="1">
      <c r="A61" s="30" t="n">
        <v>57</v>
      </c>
      <c r="B61" s="31">
        <f>'قاعدة الأسماء'!B61</f>
        <v/>
      </c>
      <c r="C61" s="45">
        <f>'الاختبار البعدي'!O62</f>
        <v/>
      </c>
      <c r="D61" s="72">
        <f>IF(C61="ضعيف","خطة علاجية",IF(C61="متوسط","خطة تطويرية","خطة إثرائية"))</f>
        <v/>
      </c>
      <c r="E61" s="73">
        <f>IF(C61="ضعيف","تركيز على: " &amp; 'الواجهة الرئيسية'!B8 &amp; " و " &amp; 'الواجهة الرئيسية'!F8,IF(C61="متوسط","تطوير: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1" s="73">
        <f>IF(C61="ضعيف","تدريبات مكثفة – نماذج سابقة",IF(C61="متوسط","أنشطة تفاعلية – أوراق عمل","مشاريع بحثية – مسابقات نافس"))</f>
        <v/>
      </c>
      <c r="G61" s="32" t="inlineStr"/>
      <c r="H61" s="32" t="inlineStr"/>
    </row>
    <row r="62" ht="22" customHeight="1">
      <c r="A62" s="46" t="n">
        <v>58</v>
      </c>
      <c r="B62" s="47">
        <f>'قاعدة الأسماء'!B62</f>
        <v/>
      </c>
      <c r="C62" s="51">
        <f>'الاختبار البعدي'!O63</f>
        <v/>
      </c>
      <c r="D62" s="74">
        <f>IF(C62="ضعيف","خطة علاجية",IF(C62="متوسط","خطة تطويرية","خطة إثرائية"))</f>
        <v/>
      </c>
      <c r="E62" s="75">
        <f>IF(C62="ضعيف","تركيز على: " &amp; 'الواجهة الرئيسية'!B8 &amp; " و " &amp; 'الواجهة الرئيسية'!F8,IF(C62="متوسط","تطوير: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2" s="75">
        <f>IF(C62="ضعيف","تدريبات مكثفة – نماذج سابقة",IF(C62="متوسط","أنشطة تفاعلية – أوراق عمل","مشاريع بحثية – مسابقات نافس"))</f>
        <v/>
      </c>
      <c r="G62" s="48" t="inlineStr"/>
      <c r="H62" s="48" t="inlineStr"/>
    </row>
    <row r="63" ht="22" customHeight="1">
      <c r="A63" s="30" t="n">
        <v>59</v>
      </c>
      <c r="B63" s="31">
        <f>'قاعدة الأسماء'!B63</f>
        <v/>
      </c>
      <c r="C63" s="45">
        <f>'الاختبار البعدي'!O64</f>
        <v/>
      </c>
      <c r="D63" s="72">
        <f>IF(C63="ضعيف","خطة علاجية",IF(C63="متوسط","خطة تطويرية","خطة إثرائية"))</f>
        <v/>
      </c>
      <c r="E63" s="73">
        <f>IF(C63="ضعيف","تركيز على: " &amp; 'الواجهة الرئيسية'!B8 &amp; " و " &amp; 'الواجهة الرئيسية'!F8,IF(C63="متوسط","تطوير: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3" s="73">
        <f>IF(C63="ضعيف","تدريبات مكثفة – نماذج سابقة",IF(C63="متوسط","أنشطة تفاعلية – أوراق عمل","مشاريع بحثية – مسابقات نافس"))</f>
        <v/>
      </c>
      <c r="G63" s="32" t="inlineStr"/>
      <c r="H63" s="32" t="inlineStr"/>
    </row>
    <row r="64" ht="22" customHeight="1">
      <c r="A64" s="46" t="n">
        <v>60</v>
      </c>
      <c r="B64" s="47">
        <f>'قاعدة الأسماء'!B64</f>
        <v/>
      </c>
      <c r="C64" s="51">
        <f>'الاختبار البعدي'!O65</f>
        <v/>
      </c>
      <c r="D64" s="74">
        <f>IF(C64="ضعيف","خطة علاجية",IF(C64="متوسط","خطة تطويرية","خطة إثرائية"))</f>
        <v/>
      </c>
      <c r="E64" s="75">
        <f>IF(C64="ضعيف","تركيز على: " &amp; 'الواجهة الرئيسية'!B8 &amp; " و " &amp; 'الواجهة الرئيسية'!F8,IF(C64="متوسط","تطوير: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4" s="75">
        <f>IF(C64="ضعيف","تدريبات مكثفة – نماذج سابقة",IF(C64="متوسط","أنشطة تفاعلية – أوراق عمل","مشاريع بحثية – مسابقات نافس"))</f>
        <v/>
      </c>
      <c r="G64" s="48" t="inlineStr"/>
      <c r="H64" s="48" t="inlineStr"/>
    </row>
    <row r="65" ht="22" customHeight="1">
      <c r="A65" s="30" t="n">
        <v>61</v>
      </c>
      <c r="B65" s="31">
        <f>'قاعدة الأسماء'!B65</f>
        <v/>
      </c>
      <c r="C65" s="45">
        <f>'الاختبار البعدي'!O66</f>
        <v/>
      </c>
      <c r="D65" s="72">
        <f>IF(C65="ضعيف","خطة علاجية",IF(C65="متوسط","خطة تطويرية","خطة إثرائية"))</f>
        <v/>
      </c>
      <c r="E65" s="73">
        <f>IF(C65="ضعيف","تركيز على: " &amp; 'الواجهة الرئيسية'!B8 &amp; " و " &amp; 'الواجهة الرئيسية'!F8,IF(C65="متوسط","تطوير: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5" s="73">
        <f>IF(C65="ضعيف","تدريبات مكثفة – نماذج سابقة",IF(C65="متوسط","أنشطة تفاعلية – أوراق عمل","مشاريع بحثية – مسابقات نافس"))</f>
        <v/>
      </c>
      <c r="G65" s="32" t="inlineStr"/>
      <c r="H65" s="32" t="inlineStr"/>
    </row>
    <row r="66" ht="22" customHeight="1">
      <c r="A66" s="46" t="n">
        <v>62</v>
      </c>
      <c r="B66" s="47">
        <f>'قاعدة الأسماء'!B66</f>
        <v/>
      </c>
      <c r="C66" s="51">
        <f>'الاختبار البعدي'!O67</f>
        <v/>
      </c>
      <c r="D66" s="74">
        <f>IF(C66="ضعيف","خطة علاجية",IF(C66="متوسط","خطة تطويرية","خطة إثرائية"))</f>
        <v/>
      </c>
      <c r="E66" s="75">
        <f>IF(C66="ضعيف","تركيز على: " &amp; 'الواجهة الرئيسية'!B8 &amp; " و " &amp; 'الواجهة الرئيسية'!F8,IF(C66="متوسط","تطوير: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6" s="75">
        <f>IF(C66="ضعيف","تدريبات مكثفة – نماذج سابقة",IF(C66="متوسط","أنشطة تفاعلية – أوراق عمل","مشاريع بحثية – مسابقات نافس"))</f>
        <v/>
      </c>
      <c r="G66" s="48" t="inlineStr"/>
      <c r="H66" s="48" t="inlineStr"/>
    </row>
    <row r="67" ht="22" customHeight="1">
      <c r="A67" s="30" t="n">
        <v>63</v>
      </c>
      <c r="B67" s="31">
        <f>'قاعدة الأسماء'!B67</f>
        <v/>
      </c>
      <c r="C67" s="45">
        <f>'الاختبار البعدي'!O68</f>
        <v/>
      </c>
      <c r="D67" s="72">
        <f>IF(C67="ضعيف","خطة علاجية",IF(C67="متوسط","خطة تطويرية","خطة إثرائية"))</f>
        <v/>
      </c>
      <c r="E67" s="73">
        <f>IF(C67="ضعيف","تركيز على: " &amp; 'الواجهة الرئيسية'!B8 &amp; " و " &amp; 'الواجهة الرئيسية'!F8,IF(C67="متوسط","تطوير: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7" s="73">
        <f>IF(C67="ضعيف","تدريبات مكثفة – نماذج سابقة",IF(C67="متوسط","أنشطة تفاعلية – أوراق عمل","مشاريع بحثية – مسابقات نافس"))</f>
        <v/>
      </c>
      <c r="G67" s="32" t="inlineStr"/>
      <c r="H67" s="32" t="inlineStr"/>
    </row>
    <row r="68" ht="22" customHeight="1">
      <c r="A68" s="46" t="n">
        <v>64</v>
      </c>
      <c r="B68" s="47">
        <f>'قاعدة الأسماء'!B68</f>
        <v/>
      </c>
      <c r="C68" s="51">
        <f>'الاختبار البعدي'!O69</f>
        <v/>
      </c>
      <c r="D68" s="74">
        <f>IF(C68="ضعيف","خطة علاجية",IF(C68="متوسط","خطة تطويرية","خطة إثرائية"))</f>
        <v/>
      </c>
      <c r="E68" s="75">
        <f>IF(C68="ضعيف","تركيز على: " &amp; 'الواجهة الرئيسية'!B8 &amp; " و " &amp; 'الواجهة الرئيسية'!F8,IF(C68="متوسط","تطوير: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8" s="75">
        <f>IF(C68="ضعيف","تدريبات مكثفة – نماذج سابقة",IF(C68="متوسط","أنشطة تفاعلية – أوراق عمل","مشاريع بحثية – مسابقات نافس"))</f>
        <v/>
      </c>
      <c r="G68" s="48" t="inlineStr"/>
      <c r="H68" s="48" t="inlineStr"/>
    </row>
    <row r="69" ht="22" customHeight="1">
      <c r="A69" s="30" t="n">
        <v>65</v>
      </c>
      <c r="B69" s="31">
        <f>'قاعدة الأسماء'!B69</f>
        <v/>
      </c>
      <c r="C69" s="45">
        <f>'الاختبار البعدي'!O70</f>
        <v/>
      </c>
      <c r="D69" s="72">
        <f>IF(C69="ضعيف","خطة علاجية",IF(C69="متوسط","خطة تطويرية","خطة إثرائية"))</f>
        <v/>
      </c>
      <c r="E69" s="73">
        <f>IF(C69="ضعيف","تركيز على: " &amp; 'الواجهة الرئيسية'!B8 &amp; " و " &amp; 'الواجهة الرئيسية'!F8,IF(C69="متوسط","تطوير: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9" s="73">
        <f>IF(C69="ضعيف","تدريبات مكثفة – نماذج سابقة",IF(C69="متوسط","أنشطة تفاعلية – أوراق عمل","مشاريع بحثية – مسابقات نافس"))</f>
        <v/>
      </c>
      <c r="G69" s="32" t="inlineStr"/>
      <c r="H69" s="32" t="inlineStr"/>
    </row>
    <row r="70" ht="22" customHeight="1">
      <c r="A70" s="46" t="n">
        <v>66</v>
      </c>
      <c r="B70" s="47">
        <f>'قاعدة الأسماء'!B70</f>
        <v/>
      </c>
      <c r="C70" s="51">
        <f>'الاختبار البعدي'!O71</f>
        <v/>
      </c>
      <c r="D70" s="74">
        <f>IF(C70="ضعيف","خطة علاجية",IF(C70="متوسط","خطة تطويرية","خطة إثرائية"))</f>
        <v/>
      </c>
      <c r="E70" s="75">
        <f>IF(C70="ضعيف","تركيز على: " &amp; 'الواجهة الرئيسية'!B8 &amp; " و " &amp; 'الواجهة الرئيسية'!F8,IF(C70="متوسط","تطوير: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0" s="75">
        <f>IF(C70="ضعيف","تدريبات مكثفة – نماذج سابقة",IF(C70="متوسط","أنشطة تفاعلية – أوراق عمل","مشاريع بحثية – مسابقات نافس"))</f>
        <v/>
      </c>
      <c r="G70" s="48" t="inlineStr"/>
      <c r="H70" s="48" t="inlineStr"/>
    </row>
    <row r="71" ht="22" customHeight="1">
      <c r="A71" s="30" t="n">
        <v>67</v>
      </c>
      <c r="B71" s="31">
        <f>'قاعدة الأسماء'!B71</f>
        <v/>
      </c>
      <c r="C71" s="45">
        <f>'الاختبار البعدي'!O72</f>
        <v/>
      </c>
      <c r="D71" s="72">
        <f>IF(C71="ضعيف","خطة علاجية",IF(C71="متوسط","خطة تطويرية","خطة إثرائية"))</f>
        <v/>
      </c>
      <c r="E71" s="73">
        <f>IF(C71="ضعيف","تركيز على: " &amp; 'الواجهة الرئيسية'!B8 &amp; " و " &amp; 'الواجهة الرئيسية'!F8,IF(C71="متوسط","تطوير: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1" s="73">
        <f>IF(C71="ضعيف","تدريبات مكثفة – نماذج سابقة",IF(C71="متوسط","أنشطة تفاعلية – أوراق عمل","مشاريع بحثية – مسابقات نافس"))</f>
        <v/>
      </c>
      <c r="G71" s="32" t="inlineStr"/>
      <c r="H71" s="32" t="inlineStr"/>
    </row>
    <row r="72" ht="22" customHeight="1">
      <c r="A72" s="46" t="n">
        <v>68</v>
      </c>
      <c r="B72" s="47">
        <f>'قاعدة الأسماء'!B72</f>
        <v/>
      </c>
      <c r="C72" s="51">
        <f>'الاختبار البعدي'!O73</f>
        <v/>
      </c>
      <c r="D72" s="74">
        <f>IF(C72="ضعيف","خطة علاجية",IF(C72="متوسط","خطة تطويرية","خطة إثرائية"))</f>
        <v/>
      </c>
      <c r="E72" s="75">
        <f>IF(C72="ضعيف","تركيز على: " &amp; 'الواجهة الرئيسية'!B8 &amp; " و " &amp; 'الواجهة الرئيسية'!F8,IF(C72="متوسط","تطوير: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2" s="75">
        <f>IF(C72="ضعيف","تدريبات مكثفة – نماذج سابقة",IF(C72="متوسط","أنشطة تفاعلية – أوراق عمل","مشاريع بحثية – مسابقات نافس"))</f>
        <v/>
      </c>
      <c r="G72" s="48" t="inlineStr"/>
      <c r="H72" s="48" t="inlineStr"/>
    </row>
    <row r="73" ht="22" customHeight="1">
      <c r="A73" s="30" t="n">
        <v>69</v>
      </c>
      <c r="B73" s="31">
        <f>'قاعدة الأسماء'!B73</f>
        <v/>
      </c>
      <c r="C73" s="45">
        <f>'الاختبار البعدي'!O74</f>
        <v/>
      </c>
      <c r="D73" s="72">
        <f>IF(C73="ضعيف","خطة علاجية",IF(C73="متوسط","خطة تطويرية","خطة إثرائية"))</f>
        <v/>
      </c>
      <c r="E73" s="73">
        <f>IF(C73="ضعيف","تركيز على: " &amp; 'الواجهة الرئيسية'!B8 &amp; " و " &amp; 'الواجهة الرئيسية'!F8,IF(C73="متوسط","تطوير: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3" s="73">
        <f>IF(C73="ضعيف","تدريبات مكثفة – نماذج سابقة",IF(C73="متوسط","أنشطة تفاعلية – أوراق عمل","مشاريع بحثية – مسابقات نافس"))</f>
        <v/>
      </c>
      <c r="G73" s="32" t="inlineStr"/>
      <c r="H73" s="32" t="inlineStr"/>
    </row>
    <row r="74" ht="22" customHeight="1">
      <c r="A74" s="46" t="n">
        <v>70</v>
      </c>
      <c r="B74" s="47">
        <f>'قاعدة الأسماء'!B74</f>
        <v/>
      </c>
      <c r="C74" s="51">
        <f>'الاختبار البعدي'!O75</f>
        <v/>
      </c>
      <c r="D74" s="74">
        <f>IF(C74="ضعيف","خطة علاجية",IF(C74="متوسط","خطة تطويرية","خطة إثرائية"))</f>
        <v/>
      </c>
      <c r="E74" s="75">
        <f>IF(C74="ضعيف","تركيز على: " &amp; 'الواجهة الرئيسية'!B8 &amp; " و " &amp; 'الواجهة الرئيسية'!F8,IF(C74="متوسط","تطوير: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4" s="75">
        <f>IF(C74="ضعيف","تدريبات مكثفة – نماذج سابقة",IF(C74="متوسط","أنشطة تفاعلية – أوراق عمل","مشاريع بحثية – مسابقات نافس"))</f>
        <v/>
      </c>
      <c r="G74" s="48" t="inlineStr"/>
      <c r="H74" s="48" t="inlineStr"/>
    </row>
    <row r="75" ht="22" customHeight="1">
      <c r="A75" s="30" t="n">
        <v>71</v>
      </c>
      <c r="B75" s="31">
        <f>'قاعدة الأسماء'!B75</f>
        <v/>
      </c>
      <c r="C75" s="45">
        <f>'الاختبار البعدي'!O76</f>
        <v/>
      </c>
      <c r="D75" s="72">
        <f>IF(C75="ضعيف","خطة علاجية",IF(C75="متوسط","خطة تطويرية","خطة إثرائية"))</f>
        <v/>
      </c>
      <c r="E75" s="73">
        <f>IF(C75="ضعيف","تركيز على: " &amp; 'الواجهة الرئيسية'!B8 &amp; " و " &amp; 'الواجهة الرئيسية'!F8,IF(C75="متوسط","تطوير: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5" s="73">
        <f>IF(C75="ضعيف","تدريبات مكثفة – نماذج سابقة",IF(C75="متوسط","أنشطة تفاعلية – أوراق عمل","مشاريع بحثية – مسابقات نافس"))</f>
        <v/>
      </c>
      <c r="G75" s="32" t="inlineStr"/>
      <c r="H75" s="32" t="inlineStr"/>
    </row>
    <row r="76" ht="22" customHeight="1">
      <c r="A76" s="46" t="n">
        <v>72</v>
      </c>
      <c r="B76" s="47">
        <f>'قاعدة الأسماء'!B76</f>
        <v/>
      </c>
      <c r="C76" s="51">
        <f>'الاختبار البعدي'!O77</f>
        <v/>
      </c>
      <c r="D76" s="74">
        <f>IF(C76="ضعيف","خطة علاجية",IF(C76="متوسط","خطة تطويرية","خطة إثرائية"))</f>
        <v/>
      </c>
      <c r="E76" s="75">
        <f>IF(C76="ضعيف","تركيز على: " &amp; 'الواجهة الرئيسية'!B8 &amp; " و " &amp; 'الواجهة الرئيسية'!F8,IF(C76="متوسط","تطوير: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6" s="75">
        <f>IF(C76="ضعيف","تدريبات مكثفة – نماذج سابقة",IF(C76="متوسط","أنشطة تفاعلية – أوراق عمل","مشاريع بحثية – مسابقات نافس"))</f>
        <v/>
      </c>
      <c r="G76" s="48" t="inlineStr"/>
      <c r="H76" s="48" t="inlineStr"/>
    </row>
    <row r="77" ht="22" customHeight="1">
      <c r="A77" s="30" t="n">
        <v>73</v>
      </c>
      <c r="B77" s="31">
        <f>'قاعدة الأسماء'!B77</f>
        <v/>
      </c>
      <c r="C77" s="45">
        <f>'الاختبار البعدي'!O78</f>
        <v/>
      </c>
      <c r="D77" s="72">
        <f>IF(C77="ضعيف","خطة علاجية",IF(C77="متوسط","خطة تطويرية","خطة إثرائية"))</f>
        <v/>
      </c>
      <c r="E77" s="73">
        <f>IF(C77="ضعيف","تركيز على: " &amp; 'الواجهة الرئيسية'!B8 &amp; " و " &amp; 'الواجهة الرئيسية'!F8,IF(C77="متوسط","تطوير: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7" s="73">
        <f>IF(C77="ضعيف","تدريبات مكثفة – نماذج سابقة",IF(C77="متوسط","أنشطة تفاعلية – أوراق عمل","مشاريع بحثية – مسابقات نافس"))</f>
        <v/>
      </c>
      <c r="G77" s="32" t="inlineStr"/>
      <c r="H77" s="32" t="inlineStr"/>
    </row>
    <row r="78" ht="22" customHeight="1">
      <c r="A78" s="46" t="n">
        <v>74</v>
      </c>
      <c r="B78" s="47">
        <f>'قاعدة الأسماء'!B78</f>
        <v/>
      </c>
      <c r="C78" s="51">
        <f>'الاختبار البعدي'!O79</f>
        <v/>
      </c>
      <c r="D78" s="74">
        <f>IF(C78="ضعيف","خطة علاجية",IF(C78="متوسط","خطة تطويرية","خطة إثرائية"))</f>
        <v/>
      </c>
      <c r="E78" s="75">
        <f>IF(C78="ضعيف","تركيز على: " &amp; 'الواجهة الرئيسية'!B8 &amp; " و " &amp; 'الواجهة الرئيسية'!F8,IF(C78="متوسط","تطوير: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8" s="75">
        <f>IF(C78="ضعيف","تدريبات مكثفة – نماذج سابقة",IF(C78="متوسط","أنشطة تفاعلية – أوراق عمل","مشاريع بحثية – مسابقات نافس"))</f>
        <v/>
      </c>
      <c r="G78" s="48" t="inlineStr"/>
      <c r="H78" s="48" t="inlineStr"/>
    </row>
    <row r="79" ht="22" customHeight="1">
      <c r="A79" s="30" t="n">
        <v>75</v>
      </c>
      <c r="B79" s="31">
        <f>'قاعدة الأسماء'!B79</f>
        <v/>
      </c>
      <c r="C79" s="45">
        <f>'الاختبار البعدي'!O80</f>
        <v/>
      </c>
      <c r="D79" s="72">
        <f>IF(C79="ضعيف","خطة علاجية",IF(C79="متوسط","خطة تطويرية","خطة إثرائية"))</f>
        <v/>
      </c>
      <c r="E79" s="73">
        <f>IF(C79="ضعيف","تركيز على: " &amp; 'الواجهة الرئيسية'!B8 &amp; " و " &amp; 'الواجهة الرئيسية'!F8,IF(C79="متوسط","تطوير: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9" s="73">
        <f>IF(C79="ضعيف","تدريبات مكثفة – نماذج سابقة",IF(C79="متوسط","أنشطة تفاعلية – أوراق عمل","مشاريع بحثية – مسابقات نافس"))</f>
        <v/>
      </c>
      <c r="G79" s="32" t="inlineStr"/>
      <c r="H79" s="32" t="inlineStr"/>
    </row>
    <row r="80" ht="22" customHeight="1">
      <c r="A80" s="46" t="n">
        <v>76</v>
      </c>
      <c r="B80" s="47">
        <f>'قاعدة الأسماء'!B80</f>
        <v/>
      </c>
      <c r="C80" s="51">
        <f>'الاختبار البعدي'!O81</f>
        <v/>
      </c>
      <c r="D80" s="74">
        <f>IF(C80="ضعيف","خطة علاجية",IF(C80="متوسط","خطة تطويرية","خطة إثرائية"))</f>
        <v/>
      </c>
      <c r="E80" s="75">
        <f>IF(C80="ضعيف","تركيز على: " &amp; 'الواجهة الرئيسية'!B8 &amp; " و " &amp; 'الواجهة الرئيسية'!F8,IF(C80="متوسط","تطوير: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0" s="75">
        <f>IF(C80="ضعيف","تدريبات مكثفة – نماذج سابقة",IF(C80="متوسط","أنشطة تفاعلية – أوراق عمل","مشاريع بحثية – مسابقات نافس"))</f>
        <v/>
      </c>
      <c r="G80" s="48" t="inlineStr"/>
      <c r="H80" s="48" t="inlineStr"/>
    </row>
    <row r="81" ht="22" customHeight="1">
      <c r="A81" s="30" t="n">
        <v>77</v>
      </c>
      <c r="B81" s="31">
        <f>'قاعدة الأسماء'!B81</f>
        <v/>
      </c>
      <c r="C81" s="45">
        <f>'الاختبار البعدي'!O82</f>
        <v/>
      </c>
      <c r="D81" s="72">
        <f>IF(C81="ضعيف","خطة علاجية",IF(C81="متوسط","خطة تطويرية","خطة إثرائية"))</f>
        <v/>
      </c>
      <c r="E81" s="73">
        <f>IF(C81="ضعيف","تركيز على: " &amp; 'الواجهة الرئيسية'!B8 &amp; " و " &amp; 'الواجهة الرئيسية'!F8,IF(C81="متوسط","تطوير: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1" s="73">
        <f>IF(C81="ضعيف","تدريبات مكثفة – نماذج سابقة",IF(C81="متوسط","أنشطة تفاعلية – أوراق عمل","مشاريع بحثية – مسابقات نافس"))</f>
        <v/>
      </c>
      <c r="G81" s="32" t="inlineStr"/>
      <c r="H81" s="32" t="inlineStr"/>
    </row>
    <row r="82" ht="22" customHeight="1">
      <c r="A82" s="46" t="n">
        <v>78</v>
      </c>
      <c r="B82" s="47">
        <f>'قاعدة الأسماء'!B82</f>
        <v/>
      </c>
      <c r="C82" s="51">
        <f>'الاختبار البعدي'!O83</f>
        <v/>
      </c>
      <c r="D82" s="74">
        <f>IF(C82="ضعيف","خطة علاجية",IF(C82="متوسط","خطة تطويرية","خطة إثرائية"))</f>
        <v/>
      </c>
      <c r="E82" s="75">
        <f>IF(C82="ضعيف","تركيز على: " &amp; 'الواجهة الرئيسية'!B8 &amp; " و " &amp; 'الواجهة الرئيسية'!F8,IF(C82="متوسط","تطوير: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2" s="75">
        <f>IF(C82="ضعيف","تدريبات مكثفة – نماذج سابقة",IF(C82="متوسط","أنشطة تفاعلية – أوراق عمل","مشاريع بحثية – مسابقات نافس"))</f>
        <v/>
      </c>
      <c r="G82" s="48" t="inlineStr"/>
      <c r="H82" s="48" t="inlineStr"/>
    </row>
    <row r="83" ht="22" customHeight="1">
      <c r="A83" s="30" t="n">
        <v>79</v>
      </c>
      <c r="B83" s="31">
        <f>'قاعدة الأسماء'!B83</f>
        <v/>
      </c>
      <c r="C83" s="45">
        <f>'الاختبار البعدي'!O84</f>
        <v/>
      </c>
      <c r="D83" s="72">
        <f>IF(C83="ضعيف","خطة علاجية",IF(C83="متوسط","خطة تطويرية","خطة إثرائية"))</f>
        <v/>
      </c>
      <c r="E83" s="73">
        <f>IF(C83="ضعيف","تركيز على: " &amp; 'الواجهة الرئيسية'!B8 &amp; " و " &amp; 'الواجهة الرئيسية'!F8,IF(C83="متوسط","تطوير: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3" s="73">
        <f>IF(C83="ضعيف","تدريبات مكثفة – نماذج سابقة",IF(C83="متوسط","أنشطة تفاعلية – أوراق عمل","مشاريع بحثية – مسابقات نافس"))</f>
        <v/>
      </c>
      <c r="G83" s="32" t="inlineStr"/>
      <c r="H83" s="32" t="inlineStr"/>
    </row>
    <row r="84" ht="22" customHeight="1">
      <c r="A84" s="46" t="n">
        <v>80</v>
      </c>
      <c r="B84" s="47">
        <f>'قاعدة الأسماء'!B84</f>
        <v/>
      </c>
      <c r="C84" s="51">
        <f>'الاختبار البعدي'!O85</f>
        <v/>
      </c>
      <c r="D84" s="74">
        <f>IF(C84="ضعيف","خطة علاجية",IF(C84="متوسط","خطة تطويرية","خطة إثرائية"))</f>
        <v/>
      </c>
      <c r="E84" s="75">
        <f>IF(C84="ضعيف","تركيز على: " &amp; 'الواجهة الرئيسية'!B8 &amp; " و " &amp; 'الواجهة الرئيسية'!F8,IF(C84="متوسط","تطوير: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4" s="75">
        <f>IF(C84="ضعيف","تدريبات مكثفة – نماذج سابقة",IF(C84="متوسط","أنشطة تفاعلية – أوراق عمل","مشاريع بحثية – مسابقات نافس"))</f>
        <v/>
      </c>
      <c r="G84" s="48" t="inlineStr"/>
      <c r="H84" s="48" t="inlineStr"/>
    </row>
    <row r="85" ht="22" customHeight="1">
      <c r="A85" s="30" t="n">
        <v>81</v>
      </c>
      <c r="B85" s="31">
        <f>'قاعدة الأسماء'!B85</f>
        <v/>
      </c>
      <c r="C85" s="45">
        <f>'الاختبار البعدي'!O86</f>
        <v/>
      </c>
      <c r="D85" s="72">
        <f>IF(C85="ضعيف","خطة علاجية",IF(C85="متوسط","خطة تطويرية","خطة إثرائية"))</f>
        <v/>
      </c>
      <c r="E85" s="73">
        <f>IF(C85="ضعيف","تركيز على: " &amp; 'الواجهة الرئيسية'!B8 &amp; " و " &amp; 'الواجهة الرئيسية'!F8,IF(C85="متوسط","تطوير: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5" s="73">
        <f>IF(C85="ضعيف","تدريبات مكثفة – نماذج سابقة",IF(C85="متوسط","أنشطة تفاعلية – أوراق عمل","مشاريع بحثية – مسابقات نافس"))</f>
        <v/>
      </c>
      <c r="G85" s="32" t="inlineStr"/>
      <c r="H85" s="32" t="inlineStr"/>
    </row>
    <row r="86" ht="22" customHeight="1">
      <c r="A86" s="46" t="n">
        <v>82</v>
      </c>
      <c r="B86" s="47">
        <f>'قاعدة الأسماء'!B86</f>
        <v/>
      </c>
      <c r="C86" s="51">
        <f>'الاختبار البعدي'!O87</f>
        <v/>
      </c>
      <c r="D86" s="74">
        <f>IF(C86="ضعيف","خطة علاجية",IF(C86="متوسط","خطة تطويرية","خطة إثرائية"))</f>
        <v/>
      </c>
      <c r="E86" s="75">
        <f>IF(C86="ضعيف","تركيز على: " &amp; 'الواجهة الرئيسية'!B8 &amp; " و " &amp; 'الواجهة الرئيسية'!F8,IF(C86="متوسط","تطوير: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6" s="75">
        <f>IF(C86="ضعيف","تدريبات مكثفة – نماذج سابقة",IF(C86="متوسط","أنشطة تفاعلية – أوراق عمل","مشاريع بحثية – مسابقات نافس"))</f>
        <v/>
      </c>
      <c r="G86" s="48" t="inlineStr"/>
      <c r="H86" s="48" t="inlineStr"/>
    </row>
    <row r="87" ht="22" customHeight="1">
      <c r="A87" s="30" t="n">
        <v>83</v>
      </c>
      <c r="B87" s="31">
        <f>'قاعدة الأسماء'!B87</f>
        <v/>
      </c>
      <c r="C87" s="45">
        <f>'الاختبار البعدي'!O88</f>
        <v/>
      </c>
      <c r="D87" s="72">
        <f>IF(C87="ضعيف","خطة علاجية",IF(C87="متوسط","خطة تطويرية","خطة إثرائية"))</f>
        <v/>
      </c>
      <c r="E87" s="73">
        <f>IF(C87="ضعيف","تركيز على: " &amp; 'الواجهة الرئيسية'!B8 &amp; " و " &amp; 'الواجهة الرئيسية'!F8,IF(C87="متوسط","تطوير: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7" s="73">
        <f>IF(C87="ضعيف","تدريبات مكثفة – نماذج سابقة",IF(C87="متوسط","أنشطة تفاعلية – أوراق عمل","مشاريع بحثية – مسابقات نافس"))</f>
        <v/>
      </c>
      <c r="G87" s="32" t="inlineStr"/>
      <c r="H87" s="32" t="inlineStr"/>
    </row>
    <row r="88" ht="22" customHeight="1">
      <c r="A88" s="46" t="n">
        <v>84</v>
      </c>
      <c r="B88" s="47">
        <f>'قاعدة الأسماء'!B88</f>
        <v/>
      </c>
      <c r="C88" s="51">
        <f>'الاختبار البعدي'!O89</f>
        <v/>
      </c>
      <c r="D88" s="74">
        <f>IF(C88="ضعيف","خطة علاجية",IF(C88="متوسط","خطة تطويرية","خطة إثرائية"))</f>
        <v/>
      </c>
      <c r="E88" s="75">
        <f>IF(C88="ضعيف","تركيز على: " &amp; 'الواجهة الرئيسية'!B8 &amp; " و " &amp; 'الواجهة الرئيسية'!F8,IF(C88="متوسط","تطوير: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8" s="75">
        <f>IF(C88="ضعيف","تدريبات مكثفة – نماذج سابقة",IF(C88="متوسط","أنشطة تفاعلية – أوراق عمل","مشاريع بحثية – مسابقات نافس"))</f>
        <v/>
      </c>
      <c r="G88" s="48" t="inlineStr"/>
      <c r="H88" s="48" t="inlineStr"/>
    </row>
    <row r="89" ht="22" customHeight="1">
      <c r="A89" s="30" t="n">
        <v>85</v>
      </c>
      <c r="B89" s="31">
        <f>'قاعدة الأسماء'!B89</f>
        <v/>
      </c>
      <c r="C89" s="45">
        <f>'الاختبار البعدي'!O90</f>
        <v/>
      </c>
      <c r="D89" s="72">
        <f>IF(C89="ضعيف","خطة علاجية",IF(C89="متوسط","خطة تطويرية","خطة إثرائية"))</f>
        <v/>
      </c>
      <c r="E89" s="73">
        <f>IF(C89="ضعيف","تركيز على: " &amp; 'الواجهة الرئيسية'!B8 &amp; " و " &amp; 'الواجهة الرئيسية'!F8,IF(C89="متوسط","تطوير: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9" s="73">
        <f>IF(C89="ضعيف","تدريبات مكثفة – نماذج سابقة",IF(C89="متوسط","أنشطة تفاعلية – أوراق عمل","مشاريع بحثية – مسابقات نافس"))</f>
        <v/>
      </c>
      <c r="G89" s="32" t="inlineStr"/>
      <c r="H89" s="32" t="inlineStr"/>
    </row>
    <row r="90" ht="22" customHeight="1">
      <c r="A90" s="46" t="n">
        <v>86</v>
      </c>
      <c r="B90" s="47">
        <f>'قاعدة الأسماء'!B90</f>
        <v/>
      </c>
      <c r="C90" s="51">
        <f>'الاختبار البعدي'!O91</f>
        <v/>
      </c>
      <c r="D90" s="74">
        <f>IF(C90="ضعيف","خطة علاجية",IF(C90="متوسط","خطة تطويرية","خطة إثرائية"))</f>
        <v/>
      </c>
      <c r="E90" s="75">
        <f>IF(C90="ضعيف","تركيز على: " &amp; 'الواجهة الرئيسية'!B8 &amp; " و " &amp; 'الواجهة الرئيسية'!F8,IF(C90="متوسط","تطوير: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0" s="75">
        <f>IF(C90="ضعيف","تدريبات مكثفة – نماذج سابقة",IF(C90="متوسط","أنشطة تفاعلية – أوراق عمل","مشاريع بحثية – مسابقات نافس"))</f>
        <v/>
      </c>
      <c r="G90" s="48" t="inlineStr"/>
      <c r="H90" s="48" t="inlineStr"/>
    </row>
    <row r="91" ht="22" customHeight="1">
      <c r="A91" s="30" t="n">
        <v>87</v>
      </c>
      <c r="B91" s="31">
        <f>'قاعدة الأسماء'!B91</f>
        <v/>
      </c>
      <c r="C91" s="45">
        <f>'الاختبار البعدي'!O92</f>
        <v/>
      </c>
      <c r="D91" s="72">
        <f>IF(C91="ضعيف","خطة علاجية",IF(C91="متوسط","خطة تطويرية","خطة إثرائية"))</f>
        <v/>
      </c>
      <c r="E91" s="73">
        <f>IF(C91="ضعيف","تركيز على: " &amp; 'الواجهة الرئيسية'!B8 &amp; " و " &amp; 'الواجهة الرئيسية'!F8,IF(C91="متوسط","تطوير: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1" s="73">
        <f>IF(C91="ضعيف","تدريبات مكثفة – نماذج سابقة",IF(C91="متوسط","أنشطة تفاعلية – أوراق عمل","مشاريع بحثية – مسابقات نافس"))</f>
        <v/>
      </c>
      <c r="G91" s="32" t="inlineStr"/>
      <c r="H91" s="32" t="inlineStr"/>
    </row>
    <row r="92" ht="22" customHeight="1">
      <c r="A92" s="46" t="n">
        <v>88</v>
      </c>
      <c r="B92" s="47">
        <f>'قاعدة الأسماء'!B92</f>
        <v/>
      </c>
      <c r="C92" s="51">
        <f>'الاختبار البعدي'!O93</f>
        <v/>
      </c>
      <c r="D92" s="74">
        <f>IF(C92="ضعيف","خطة علاجية",IF(C92="متوسط","خطة تطويرية","خطة إثرائية"))</f>
        <v/>
      </c>
      <c r="E92" s="75">
        <f>IF(C92="ضعيف","تركيز على: " &amp; 'الواجهة الرئيسية'!B8 &amp; " و " &amp; 'الواجهة الرئيسية'!F8,IF(C92="متوسط","تطوير: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2" s="75">
        <f>IF(C92="ضعيف","تدريبات مكثفة – نماذج سابقة",IF(C92="متوسط","أنشطة تفاعلية – أوراق عمل","مشاريع بحثية – مسابقات نافس"))</f>
        <v/>
      </c>
      <c r="G92" s="48" t="inlineStr"/>
      <c r="H92" s="48" t="inlineStr"/>
    </row>
    <row r="93" ht="22" customHeight="1">
      <c r="A93" s="30" t="n">
        <v>89</v>
      </c>
      <c r="B93" s="31">
        <f>'قاعدة الأسماء'!B93</f>
        <v/>
      </c>
      <c r="C93" s="45">
        <f>'الاختبار البعدي'!O94</f>
        <v/>
      </c>
      <c r="D93" s="72">
        <f>IF(C93="ضعيف","خطة علاجية",IF(C93="متوسط","خطة تطويرية","خطة إثرائية"))</f>
        <v/>
      </c>
      <c r="E93" s="73">
        <f>IF(C93="ضعيف","تركيز على: " &amp; 'الواجهة الرئيسية'!B8 &amp; " و " &amp; 'الواجهة الرئيسية'!F8,IF(C93="متوسط","تطوير: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3" s="73">
        <f>IF(C93="ضعيف","تدريبات مكثفة – نماذج سابقة",IF(C93="متوسط","أنشطة تفاعلية – أوراق عمل","مشاريع بحثية – مسابقات نافس"))</f>
        <v/>
      </c>
      <c r="G93" s="32" t="inlineStr"/>
      <c r="H93" s="32" t="inlineStr"/>
    </row>
    <row r="94" ht="22" customHeight="1">
      <c r="A94" s="46" t="n">
        <v>90</v>
      </c>
      <c r="B94" s="47">
        <f>'قاعدة الأسماء'!B94</f>
        <v/>
      </c>
      <c r="C94" s="51">
        <f>'الاختبار البعدي'!O95</f>
        <v/>
      </c>
      <c r="D94" s="74">
        <f>IF(C94="ضعيف","خطة علاجية",IF(C94="متوسط","خطة تطويرية","خطة إثرائية"))</f>
        <v/>
      </c>
      <c r="E94" s="75">
        <f>IF(C94="ضعيف","تركيز على: " &amp; 'الواجهة الرئيسية'!B8 &amp; " و " &amp; 'الواجهة الرئيسية'!F8,IF(C94="متوسط","تطوير: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4" s="75">
        <f>IF(C94="ضعيف","تدريبات مكثفة – نماذج سابقة",IF(C94="متوسط","أنشطة تفاعلية – أوراق عمل","مشاريع بحثية – مسابقات نافس"))</f>
        <v/>
      </c>
      <c r="G94" s="48" t="inlineStr"/>
      <c r="H94" s="48" t="inlineStr"/>
    </row>
    <row r="95" ht="22" customHeight="1">
      <c r="A95" s="30" t="n">
        <v>91</v>
      </c>
      <c r="B95" s="31">
        <f>'قاعدة الأسماء'!B95</f>
        <v/>
      </c>
      <c r="C95" s="45">
        <f>'الاختبار البعدي'!O96</f>
        <v/>
      </c>
      <c r="D95" s="72">
        <f>IF(C95="ضعيف","خطة علاجية",IF(C95="متوسط","خطة تطويرية","خطة إثرائية"))</f>
        <v/>
      </c>
      <c r="E95" s="73">
        <f>IF(C95="ضعيف","تركيز على: " &amp; 'الواجهة الرئيسية'!B8 &amp; " و " &amp; 'الواجهة الرئيسية'!F8,IF(C95="متوسط","تطوير: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5" s="73">
        <f>IF(C95="ضعيف","تدريبات مكثفة – نماذج سابقة",IF(C95="متوسط","أنشطة تفاعلية – أوراق عمل","مشاريع بحثية – مسابقات نافس"))</f>
        <v/>
      </c>
      <c r="G95" s="32" t="inlineStr"/>
      <c r="H95" s="32" t="inlineStr"/>
    </row>
    <row r="96" ht="22" customHeight="1">
      <c r="A96" s="46" t="n">
        <v>92</v>
      </c>
      <c r="B96" s="47">
        <f>'قاعدة الأسماء'!B96</f>
        <v/>
      </c>
      <c r="C96" s="51">
        <f>'الاختبار البعدي'!O97</f>
        <v/>
      </c>
      <c r="D96" s="74">
        <f>IF(C96="ضعيف","خطة علاجية",IF(C96="متوسط","خطة تطويرية","خطة إثرائية"))</f>
        <v/>
      </c>
      <c r="E96" s="75">
        <f>IF(C96="ضعيف","تركيز على: " &amp; 'الواجهة الرئيسية'!B8 &amp; " و " &amp; 'الواجهة الرئيسية'!F8,IF(C96="متوسط","تطوير: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6" s="75">
        <f>IF(C96="ضعيف","تدريبات مكثفة – نماذج سابقة",IF(C96="متوسط","أنشطة تفاعلية – أوراق عمل","مشاريع بحثية – مسابقات نافس"))</f>
        <v/>
      </c>
      <c r="G96" s="48" t="inlineStr"/>
      <c r="H96" s="48" t="inlineStr"/>
    </row>
    <row r="97" ht="22" customHeight="1">
      <c r="A97" s="30" t="n">
        <v>93</v>
      </c>
      <c r="B97" s="31">
        <f>'قاعدة الأسماء'!B97</f>
        <v/>
      </c>
      <c r="C97" s="45">
        <f>'الاختبار البعدي'!O98</f>
        <v/>
      </c>
      <c r="D97" s="72">
        <f>IF(C97="ضعيف","خطة علاجية",IF(C97="متوسط","خطة تطويرية","خطة إثرائية"))</f>
        <v/>
      </c>
      <c r="E97" s="73">
        <f>IF(C97="ضعيف","تركيز على: " &amp; 'الواجهة الرئيسية'!B8 &amp; " و " &amp; 'الواجهة الرئيسية'!F8,IF(C97="متوسط","تطوير: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7" s="73">
        <f>IF(C97="ضعيف","تدريبات مكثفة – نماذج سابقة",IF(C97="متوسط","أنشطة تفاعلية – أوراق عمل","مشاريع بحثية – مسابقات نافس"))</f>
        <v/>
      </c>
      <c r="G97" s="32" t="inlineStr"/>
      <c r="H97" s="32" t="inlineStr"/>
    </row>
    <row r="98" ht="22" customHeight="1">
      <c r="A98" s="46" t="n">
        <v>94</v>
      </c>
      <c r="B98" s="47">
        <f>'قاعدة الأسماء'!B98</f>
        <v/>
      </c>
      <c r="C98" s="51">
        <f>'الاختبار البعدي'!O99</f>
        <v/>
      </c>
      <c r="D98" s="74">
        <f>IF(C98="ضعيف","خطة علاجية",IF(C98="متوسط","خطة تطويرية","خطة إثرائية"))</f>
        <v/>
      </c>
      <c r="E98" s="75">
        <f>IF(C98="ضعيف","تركيز على: " &amp; 'الواجهة الرئيسية'!B8 &amp; " و " &amp; 'الواجهة الرئيسية'!F8,IF(C98="متوسط","تطوير: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8" s="75">
        <f>IF(C98="ضعيف","تدريبات مكثفة – نماذج سابقة",IF(C98="متوسط","أنشطة تفاعلية – أوراق عمل","مشاريع بحثية – مسابقات نافس"))</f>
        <v/>
      </c>
      <c r="G98" s="48" t="inlineStr"/>
      <c r="H98" s="48" t="inlineStr"/>
    </row>
    <row r="99" ht="22" customHeight="1">
      <c r="A99" s="30" t="n">
        <v>95</v>
      </c>
      <c r="B99" s="31">
        <f>'قاعدة الأسماء'!B99</f>
        <v/>
      </c>
      <c r="C99" s="45">
        <f>'الاختبار البعدي'!O100</f>
        <v/>
      </c>
      <c r="D99" s="72">
        <f>IF(C99="ضعيف","خطة علاجية",IF(C99="متوسط","خطة تطويرية","خطة إثرائية"))</f>
        <v/>
      </c>
      <c r="E99" s="73">
        <f>IF(C99="ضعيف","تركيز على: " &amp; 'الواجهة الرئيسية'!B8 &amp; " و " &amp; 'الواجهة الرئيسية'!F8,IF(C99="متوسط","تطوير: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9" s="73">
        <f>IF(C99="ضعيف","تدريبات مكثفة – نماذج سابقة",IF(C99="متوسط","أنشطة تفاعلية – أوراق عمل","مشاريع بحثية – مسابقات نافس"))</f>
        <v/>
      </c>
      <c r="G99" s="32" t="inlineStr"/>
      <c r="H99" s="32" t="inlineStr"/>
    </row>
    <row r="100" ht="22" customHeight="1">
      <c r="A100" s="46" t="n">
        <v>96</v>
      </c>
      <c r="B100" s="47">
        <f>'قاعدة الأسماء'!B100</f>
        <v/>
      </c>
      <c r="C100" s="51">
        <f>'الاختبار البعدي'!O101</f>
        <v/>
      </c>
      <c r="D100" s="74">
        <f>IF(C100="ضعيف","خطة علاجية",IF(C100="متوسط","خطة تطويرية","خطة إثرائية"))</f>
        <v/>
      </c>
      <c r="E100" s="75">
        <f>IF(C100="ضعيف","تركيز على: " &amp; 'الواجهة الرئيسية'!B8 &amp; " و " &amp; 'الواجهة الرئيسية'!F8,IF(C100="متوسط","تطوير: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00" s="75">
        <f>IF(C100="ضعيف","تدريبات مكثفة – نماذج سابقة",IF(C100="متوسط","أنشطة تفاعلية – أوراق عمل","مشاريع بحثية – مسابقات نافس"))</f>
        <v/>
      </c>
      <c r="G100" s="48" t="inlineStr"/>
      <c r="H100" s="48" t="inlineStr"/>
    </row>
    <row r="101" ht="22" customHeight="1">
      <c r="A101" s="30" t="n">
        <v>97</v>
      </c>
      <c r="B101" s="31">
        <f>'قاعدة الأسماء'!B101</f>
        <v/>
      </c>
      <c r="C101" s="45">
        <f>'الاختبار البعدي'!O102</f>
        <v/>
      </c>
      <c r="D101" s="72">
        <f>IF(C101="ضعيف","خطة علاجية",IF(C101="متوسط","خطة تطويرية","خطة إثرائية"))</f>
        <v/>
      </c>
      <c r="E101" s="73">
        <f>IF(C101="ضعيف","تركيز على: " &amp; 'الواجهة الرئيسية'!B8 &amp; " و " &amp; 'الواجهة الرئيسية'!F8,IF(C101="متوسط","تطوير: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01" s="73">
        <f>IF(C101="ضعيف","تدريبات مكثفة – نماذج سابقة",IF(C101="متوسط","أنشطة تفاعلية – أوراق عمل","مشاريع بحثية – مسابقات نافس"))</f>
        <v/>
      </c>
      <c r="G101" s="32" t="inlineStr"/>
      <c r="H101" s="32" t="inlineStr"/>
    </row>
    <row r="102" ht="22" customHeight="1">
      <c r="A102" s="46" t="n">
        <v>98</v>
      </c>
      <c r="B102" s="47">
        <f>'قاعدة الأسماء'!B102</f>
        <v/>
      </c>
      <c r="C102" s="51">
        <f>'الاختبار البعدي'!O103</f>
        <v/>
      </c>
      <c r="D102" s="74">
        <f>IF(C102="ضعيف","خطة علاجية",IF(C102="متوسط","خطة تطويرية","خطة إثرائية"))</f>
        <v/>
      </c>
      <c r="E102" s="75">
        <f>IF(C102="ضعيف","تركيز على: " &amp; 'الواجهة الرئيسية'!B8 &amp; " و " &amp; 'الواجهة الرئيسية'!F8,IF(C102="متوسط","تطوير: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02" s="75">
        <f>IF(C102="ضعيف","تدريبات مكثفة – نماذج سابقة",IF(C102="متوسط","أنشطة تفاعلية – أوراق عمل","مشاريع بحثية – مسابقات نافس"))</f>
        <v/>
      </c>
      <c r="G102" s="48" t="inlineStr"/>
      <c r="H102" s="48" t="inlineStr"/>
    </row>
    <row r="103" ht="22" customHeight="1">
      <c r="A103" s="30" t="n">
        <v>99</v>
      </c>
      <c r="B103" s="31">
        <f>'قاعدة الأسماء'!B103</f>
        <v/>
      </c>
      <c r="C103" s="45">
        <f>'الاختبار البعدي'!O104</f>
        <v/>
      </c>
      <c r="D103" s="72">
        <f>IF(C103="ضعيف","خطة علاجية",IF(C103="متوسط","خطة تطويرية","خطة إثرائية"))</f>
        <v/>
      </c>
      <c r="E103" s="73">
        <f>IF(C103="ضعيف","تركيز على: " &amp; 'الواجهة الرئيسية'!B8 &amp; " و " &amp; 'الواجهة الرئيسية'!F8,IF(C103="متوسط","تطوير: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03" s="73">
        <f>IF(C103="ضعيف","تدريبات مكثفة – نماذج سابقة",IF(C103="متوسط","أنشطة تفاعلية – أوراق عمل","مشاريع بحثية – مسابقات نافس"))</f>
        <v/>
      </c>
      <c r="G103" s="32" t="inlineStr"/>
      <c r="H103" s="32" t="inlineStr"/>
    </row>
  </sheetData>
  <mergeCells count="2">
    <mergeCell ref="A3:H3"/>
    <mergeCell ref="A2:H2"/>
  </mergeCells>
  <conditionalFormatting sqref="C5:C103">
    <cfRule type="expression" priority="1" dxfId="0">
      <formula>=C5="ممتاز"</formula>
    </cfRule>
    <cfRule type="expression" priority="2" dxfId="1">
      <formula>=C5="متوسط"</formula>
    </cfRule>
    <cfRule type="expression" priority="3" dxfId="2">
      <formula>=C5="ضعيف"</formula>
    </cfRule>
  </conditionalFormatting>
  <conditionalFormatting sqref="D5:D103">
    <cfRule type="expression" priority="4" dxfId="2">
      <formula>=D5="خطة علاجية"</formula>
    </cfRule>
    <cfRule type="expression" priority="5" dxfId="0">
      <formula>=D5="خطة إثرائية"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DC653"/>
    <outlinePr summaryBelow="1" summaryRight="1"/>
    <pageSetUpPr/>
  </sheetPr>
  <dimension ref="A2:G112"/>
  <sheetViews>
    <sheetView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6" customWidth="1" min="7" max="7"/>
  </cols>
  <sheetData>
    <row r="2" ht="55" customHeight="1">
      <c r="A2" s="71" t="inlineStr">
        <is>
          <t>المقارنة الآلية بين الاختبار القبلي والبعدي</t>
        </is>
      </c>
    </row>
    <row r="3" ht="30" customHeight="1">
      <c r="A3" s="28" t="inlineStr">
        <is>
          <t>يتم حساب الفرق ونسبة التحسن تلقائياً</t>
        </is>
      </c>
    </row>
    <row r="4" ht="30" customHeight="1">
      <c r="A4" s="90" t="inlineStr">
        <is>
          <t>م</t>
        </is>
      </c>
      <c r="B4" s="90" t="inlineStr">
        <is>
          <t>اسم الطالبة</t>
        </is>
      </c>
      <c r="C4" s="90" t="inlineStr">
        <is>
          <t>درجة القبلي</t>
        </is>
      </c>
      <c r="D4" s="90" t="inlineStr">
        <is>
          <t>درجة البعدي</t>
        </is>
      </c>
      <c r="E4" s="90" t="inlineStr">
        <is>
          <t>الفرق (+/-)</t>
        </is>
      </c>
      <c r="F4" s="90" t="inlineStr">
        <is>
          <t>نسبة التحسن</t>
        </is>
      </c>
      <c r="G4" s="90" t="inlineStr">
        <is>
          <t>تقييم التحسن</t>
        </is>
      </c>
    </row>
    <row r="5" ht="18" customHeight="1">
      <c r="A5" s="30" t="n">
        <v>1</v>
      </c>
      <c r="B5" s="31">
        <f>'قاعدة الأسماء'!B5</f>
        <v/>
      </c>
      <c r="C5" s="91">
        <f>IF('الاختبار القبلي'!M6="","—",'الاختبار القبلي'!M6)</f>
        <v/>
      </c>
      <c r="D5" s="92">
        <f>IF('الاختبار البعدي'!M6="","—",'الاختبار البعدي'!M6)</f>
        <v/>
      </c>
      <c r="E5" s="93">
        <f>IF(OR(C5="—",D5="—",C5="",D5=""),"",D5-C5)</f>
        <v/>
      </c>
      <c r="F5" s="94">
        <f>IFERROR(IF(C5=0,IF(D5&gt;0,1,0),(D5-C5)/C5),"")</f>
        <v/>
      </c>
      <c r="G5" s="45">
        <f>IF(ISNUMBER(E5),IF(E5&gt;10,"تحسن ممتاز",IF(E5&gt;0,"تحسن إيجابي",IF(E5=0,"مستقر","تراجع"))),"—")</f>
        <v/>
      </c>
    </row>
    <row r="6" ht="18" customHeight="1">
      <c r="A6" s="46" t="n">
        <v>2</v>
      </c>
      <c r="B6" s="47">
        <f>'قاعدة الأسماء'!B6</f>
        <v/>
      </c>
      <c r="C6" s="95">
        <f>IF('الاختبار القبلي'!M7="","—",'الاختبار القبلي'!M7)</f>
        <v/>
      </c>
      <c r="D6" s="96">
        <f>IF('الاختبار البعدي'!M7="","—",'الاختبار البعدي'!M7)</f>
        <v/>
      </c>
      <c r="E6" s="97">
        <f>IF(OR(C6="—",D6="—",C6="",D6=""),"",D6-C6)</f>
        <v/>
      </c>
      <c r="F6" s="98">
        <f>IFERROR(IF(C6=0,IF(D6&gt;0,1,0),(D6-C6)/C6),"")</f>
        <v/>
      </c>
      <c r="G6" s="51">
        <f>IF(ISNUMBER(E6),IF(E6&gt;10,"تحسن ممتاز",IF(E6&gt;0,"تحسن إيجابي",IF(E6=0,"مستقر","تراجع"))),"—")</f>
        <v/>
      </c>
    </row>
    <row r="7" ht="18" customHeight="1">
      <c r="A7" s="30" t="n">
        <v>3</v>
      </c>
      <c r="B7" s="31">
        <f>'قاعدة الأسماء'!B7</f>
        <v/>
      </c>
      <c r="C7" s="91">
        <f>IF('الاختبار القبلي'!M8="","—",'الاختبار القبلي'!M8)</f>
        <v/>
      </c>
      <c r="D7" s="92">
        <f>IF('الاختبار البعدي'!M8="","—",'الاختبار البعدي'!M8)</f>
        <v/>
      </c>
      <c r="E7" s="93">
        <f>IF(OR(C7="—",D7="—",C7="",D7=""),"",D7-C7)</f>
        <v/>
      </c>
      <c r="F7" s="94">
        <f>IFERROR(IF(C7=0,IF(D7&gt;0,1,0),(D7-C7)/C7),"")</f>
        <v/>
      </c>
      <c r="G7" s="45">
        <f>IF(ISNUMBER(E7),IF(E7&gt;10,"تحسن ممتاز",IF(E7&gt;0,"تحسن إيجابي",IF(E7=0,"مستقر","تراجع"))),"—")</f>
        <v/>
      </c>
    </row>
    <row r="8" ht="18" customHeight="1">
      <c r="A8" s="46" t="n">
        <v>4</v>
      </c>
      <c r="B8" s="47">
        <f>'قاعدة الأسماء'!B8</f>
        <v/>
      </c>
      <c r="C8" s="95">
        <f>IF('الاختبار القبلي'!M9="","—",'الاختبار القبلي'!M9)</f>
        <v/>
      </c>
      <c r="D8" s="96">
        <f>IF('الاختبار البعدي'!M9="","—",'الاختبار البعدي'!M9)</f>
        <v/>
      </c>
      <c r="E8" s="97">
        <f>IF(OR(C8="—",D8="—",C8="",D8=""),"",D8-C8)</f>
        <v/>
      </c>
      <c r="F8" s="98">
        <f>IFERROR(IF(C8=0,IF(D8&gt;0,1,0),(D8-C8)/C8),"")</f>
        <v/>
      </c>
      <c r="G8" s="51">
        <f>IF(ISNUMBER(E8),IF(E8&gt;10,"تحسن ممتاز",IF(E8&gt;0,"تحسن إيجابي",IF(E8=0,"مستقر","تراجع"))),"—")</f>
        <v/>
      </c>
    </row>
    <row r="9" ht="18" customHeight="1">
      <c r="A9" s="30" t="n">
        <v>5</v>
      </c>
      <c r="B9" s="31">
        <f>'قاعدة الأسماء'!B9</f>
        <v/>
      </c>
      <c r="C9" s="91">
        <f>IF('الاختبار القبلي'!M10="","—",'الاختبار القبلي'!M10)</f>
        <v/>
      </c>
      <c r="D9" s="92">
        <f>IF('الاختبار البعدي'!M10="","—",'الاختبار البعدي'!M10)</f>
        <v/>
      </c>
      <c r="E9" s="93">
        <f>IF(OR(C9="—",D9="—",C9="",D9=""),"",D9-C9)</f>
        <v/>
      </c>
      <c r="F9" s="94">
        <f>IFERROR(IF(C9=0,IF(D9&gt;0,1,0),(D9-C9)/C9),"")</f>
        <v/>
      </c>
      <c r="G9" s="45">
        <f>IF(ISNUMBER(E9),IF(E9&gt;10,"تحسن ممتاز",IF(E9&gt;0,"تحسن إيجابي",IF(E9=0,"مستقر","تراجع"))),"—")</f>
        <v/>
      </c>
    </row>
    <row r="10" ht="18" customHeight="1">
      <c r="A10" s="46" t="n">
        <v>6</v>
      </c>
      <c r="B10" s="47">
        <f>'قاعدة الأسماء'!B10</f>
        <v/>
      </c>
      <c r="C10" s="95">
        <f>IF('الاختبار القبلي'!M11="","—",'الاختبار القبلي'!M11)</f>
        <v/>
      </c>
      <c r="D10" s="96">
        <f>IF('الاختبار البعدي'!M11="","—",'الاختبار البعدي'!M11)</f>
        <v/>
      </c>
      <c r="E10" s="97">
        <f>IF(OR(C10="—",D10="—",C10="",D10=""),"",D10-C10)</f>
        <v/>
      </c>
      <c r="F10" s="98">
        <f>IFERROR(IF(C10=0,IF(D10&gt;0,1,0),(D10-C10)/C10),"")</f>
        <v/>
      </c>
      <c r="G10" s="51">
        <f>IF(ISNUMBER(E10),IF(E10&gt;10,"تحسن ممتاز",IF(E10&gt;0,"تحسن إيجابي",IF(E10=0,"مستقر","تراجع"))),"—")</f>
        <v/>
      </c>
    </row>
    <row r="11" ht="18" customHeight="1">
      <c r="A11" s="30" t="n">
        <v>7</v>
      </c>
      <c r="B11" s="31">
        <f>'قاعدة الأسماء'!B11</f>
        <v/>
      </c>
      <c r="C11" s="91">
        <f>IF('الاختبار القبلي'!M12="","—",'الاختبار القبلي'!M12)</f>
        <v/>
      </c>
      <c r="D11" s="92">
        <f>IF('الاختبار البعدي'!M12="","—",'الاختبار البعدي'!M12)</f>
        <v/>
      </c>
      <c r="E11" s="93">
        <f>IF(OR(C11="—",D11="—",C11="",D11=""),"",D11-C11)</f>
        <v/>
      </c>
      <c r="F11" s="94">
        <f>IFERROR(IF(C11=0,IF(D11&gt;0,1,0),(D11-C11)/C11),"")</f>
        <v/>
      </c>
      <c r="G11" s="45">
        <f>IF(ISNUMBER(E11),IF(E11&gt;10,"تحسن ممتاز",IF(E11&gt;0,"تحسن إيجابي",IF(E11=0,"مستقر","تراجع"))),"—")</f>
        <v/>
      </c>
    </row>
    <row r="12" ht="18" customHeight="1">
      <c r="A12" s="46" t="n">
        <v>8</v>
      </c>
      <c r="B12" s="47">
        <f>'قاعدة الأسماء'!B12</f>
        <v/>
      </c>
      <c r="C12" s="95">
        <f>IF('الاختبار القبلي'!M13="","—",'الاختبار القبلي'!M13)</f>
        <v/>
      </c>
      <c r="D12" s="96">
        <f>IF('الاختبار البعدي'!M13="","—",'الاختبار البعدي'!M13)</f>
        <v/>
      </c>
      <c r="E12" s="97">
        <f>IF(OR(C12="—",D12="—",C12="",D12=""),"",D12-C12)</f>
        <v/>
      </c>
      <c r="F12" s="98">
        <f>IFERROR(IF(C12=0,IF(D12&gt;0,1,0),(D12-C12)/C12),"")</f>
        <v/>
      </c>
      <c r="G12" s="51">
        <f>IF(ISNUMBER(E12),IF(E12&gt;10,"تحسن ممتاز",IF(E12&gt;0,"تحسن إيجابي",IF(E12=0,"مستقر","تراجع"))),"—")</f>
        <v/>
      </c>
    </row>
    <row r="13" ht="18" customHeight="1">
      <c r="A13" s="30" t="n">
        <v>9</v>
      </c>
      <c r="B13" s="31">
        <f>'قاعدة الأسماء'!B13</f>
        <v/>
      </c>
      <c r="C13" s="91">
        <f>IF('الاختبار القبلي'!M14="","—",'الاختبار القبلي'!M14)</f>
        <v/>
      </c>
      <c r="D13" s="92">
        <f>IF('الاختبار البعدي'!M14="","—",'الاختبار البعدي'!M14)</f>
        <v/>
      </c>
      <c r="E13" s="93">
        <f>IF(OR(C13="—",D13="—",C13="",D13=""),"",D13-C13)</f>
        <v/>
      </c>
      <c r="F13" s="94">
        <f>IFERROR(IF(C13=0,IF(D13&gt;0,1,0),(D13-C13)/C13),"")</f>
        <v/>
      </c>
      <c r="G13" s="45">
        <f>IF(ISNUMBER(E13),IF(E13&gt;10,"تحسن ممتاز",IF(E13&gt;0,"تحسن إيجابي",IF(E13=0,"مستقر","تراجع"))),"—")</f>
        <v/>
      </c>
    </row>
    <row r="14" ht="18" customHeight="1">
      <c r="A14" s="46" t="n">
        <v>10</v>
      </c>
      <c r="B14" s="47">
        <f>'قاعدة الأسماء'!B14</f>
        <v/>
      </c>
      <c r="C14" s="95">
        <f>IF('الاختبار القبلي'!M15="","—",'الاختبار القبلي'!M15)</f>
        <v/>
      </c>
      <c r="D14" s="96">
        <f>IF('الاختبار البعدي'!M15="","—",'الاختبار البعدي'!M15)</f>
        <v/>
      </c>
      <c r="E14" s="97">
        <f>IF(OR(C14="—",D14="—",C14="",D14=""),"",D14-C14)</f>
        <v/>
      </c>
      <c r="F14" s="98">
        <f>IFERROR(IF(C14=0,IF(D14&gt;0,1,0),(D14-C14)/C14),"")</f>
        <v/>
      </c>
      <c r="G14" s="51">
        <f>IF(ISNUMBER(E14),IF(E14&gt;10,"تحسن ممتاز",IF(E14&gt;0,"تحسن إيجابي",IF(E14=0,"مستقر","تراجع"))),"—")</f>
        <v/>
      </c>
    </row>
    <row r="15" ht="18" customHeight="1">
      <c r="A15" s="30" t="n">
        <v>11</v>
      </c>
      <c r="B15" s="31">
        <f>'قاعدة الأسماء'!B15</f>
        <v/>
      </c>
      <c r="C15" s="91">
        <f>IF('الاختبار القبلي'!M16="","—",'الاختبار القبلي'!M16)</f>
        <v/>
      </c>
      <c r="D15" s="92">
        <f>IF('الاختبار البعدي'!M16="","—",'الاختبار البعدي'!M16)</f>
        <v/>
      </c>
      <c r="E15" s="93">
        <f>IF(OR(C15="—",D15="—",C15="",D15=""),"",D15-C15)</f>
        <v/>
      </c>
      <c r="F15" s="94">
        <f>IFERROR(IF(C15=0,IF(D15&gt;0,1,0),(D15-C15)/C15),"")</f>
        <v/>
      </c>
      <c r="G15" s="45">
        <f>IF(ISNUMBER(E15),IF(E15&gt;10,"تحسن ممتاز",IF(E15&gt;0,"تحسن إيجابي",IF(E15=0,"مستقر","تراجع"))),"—")</f>
        <v/>
      </c>
    </row>
    <row r="16" ht="18" customHeight="1">
      <c r="A16" s="46" t="n">
        <v>12</v>
      </c>
      <c r="B16" s="47">
        <f>'قاعدة الأسماء'!B16</f>
        <v/>
      </c>
      <c r="C16" s="95">
        <f>IF('الاختبار القبلي'!M17="","—",'الاختبار القبلي'!M17)</f>
        <v/>
      </c>
      <c r="D16" s="96">
        <f>IF('الاختبار البعدي'!M17="","—",'الاختبار البعدي'!M17)</f>
        <v/>
      </c>
      <c r="E16" s="97">
        <f>IF(OR(C16="—",D16="—",C16="",D16=""),"",D16-C16)</f>
        <v/>
      </c>
      <c r="F16" s="98">
        <f>IFERROR(IF(C16=0,IF(D16&gt;0,1,0),(D16-C16)/C16),"")</f>
        <v/>
      </c>
      <c r="G16" s="51">
        <f>IF(ISNUMBER(E16),IF(E16&gt;10,"تحسن ممتاز",IF(E16&gt;0,"تحسن إيجابي",IF(E16=0,"مستقر","تراجع"))),"—")</f>
        <v/>
      </c>
    </row>
    <row r="17" ht="18" customHeight="1">
      <c r="A17" s="30" t="n">
        <v>13</v>
      </c>
      <c r="B17" s="31">
        <f>'قاعدة الأسماء'!B17</f>
        <v/>
      </c>
      <c r="C17" s="91">
        <f>IF('الاختبار القبلي'!M18="","—",'الاختبار القبلي'!M18)</f>
        <v/>
      </c>
      <c r="D17" s="92">
        <f>IF('الاختبار البعدي'!M18="","—",'الاختبار البعدي'!M18)</f>
        <v/>
      </c>
      <c r="E17" s="93">
        <f>IF(OR(C17="—",D17="—",C17="",D17=""),"",D17-C17)</f>
        <v/>
      </c>
      <c r="F17" s="94">
        <f>IFERROR(IF(C17=0,IF(D17&gt;0,1,0),(D17-C17)/C17),"")</f>
        <v/>
      </c>
      <c r="G17" s="45">
        <f>IF(ISNUMBER(E17),IF(E17&gt;10,"تحسن ممتاز",IF(E17&gt;0,"تحسن إيجابي",IF(E17=0,"مستقر","تراجع"))),"—")</f>
        <v/>
      </c>
    </row>
    <row r="18" ht="18" customHeight="1">
      <c r="A18" s="46" t="n">
        <v>14</v>
      </c>
      <c r="B18" s="47">
        <f>'قاعدة الأسماء'!B18</f>
        <v/>
      </c>
      <c r="C18" s="95">
        <f>IF('الاختبار القبلي'!M19="","—",'الاختبار القبلي'!M19)</f>
        <v/>
      </c>
      <c r="D18" s="96">
        <f>IF('الاختبار البعدي'!M19="","—",'الاختبار البعدي'!M19)</f>
        <v/>
      </c>
      <c r="E18" s="97">
        <f>IF(OR(C18="—",D18="—",C18="",D18=""),"",D18-C18)</f>
        <v/>
      </c>
      <c r="F18" s="98">
        <f>IFERROR(IF(C18=0,IF(D18&gt;0,1,0),(D18-C18)/C18),"")</f>
        <v/>
      </c>
      <c r="G18" s="51">
        <f>IF(ISNUMBER(E18),IF(E18&gt;10,"تحسن ممتاز",IF(E18&gt;0,"تحسن إيجابي",IF(E18=0,"مستقر","تراجع"))),"—")</f>
        <v/>
      </c>
    </row>
    <row r="19" ht="18" customHeight="1">
      <c r="A19" s="30" t="n">
        <v>15</v>
      </c>
      <c r="B19" s="31">
        <f>'قاعدة الأسماء'!B19</f>
        <v/>
      </c>
      <c r="C19" s="91">
        <f>IF('الاختبار القبلي'!M20="","—",'الاختبار القبلي'!M20)</f>
        <v/>
      </c>
      <c r="D19" s="92">
        <f>IF('الاختبار البعدي'!M20="","—",'الاختبار البعدي'!M20)</f>
        <v/>
      </c>
      <c r="E19" s="93">
        <f>IF(OR(C19="—",D19="—",C19="",D19=""),"",D19-C19)</f>
        <v/>
      </c>
      <c r="F19" s="94">
        <f>IFERROR(IF(C19=0,IF(D19&gt;0,1,0),(D19-C19)/C19),"")</f>
        <v/>
      </c>
      <c r="G19" s="45">
        <f>IF(ISNUMBER(E19),IF(E19&gt;10,"تحسن ممتاز",IF(E19&gt;0,"تحسن إيجابي",IF(E19=0,"مستقر","تراجع"))),"—")</f>
        <v/>
      </c>
    </row>
    <row r="20" ht="18" customHeight="1">
      <c r="A20" s="46" t="n">
        <v>16</v>
      </c>
      <c r="B20" s="47">
        <f>'قاعدة الأسماء'!B20</f>
        <v/>
      </c>
      <c r="C20" s="95">
        <f>IF('الاختبار القبلي'!M21="","—",'الاختبار القبلي'!M21)</f>
        <v/>
      </c>
      <c r="D20" s="96">
        <f>IF('الاختبار البعدي'!M21="","—",'الاختبار البعدي'!M21)</f>
        <v/>
      </c>
      <c r="E20" s="97">
        <f>IF(OR(C20="—",D20="—",C20="",D20=""),"",D20-C20)</f>
        <v/>
      </c>
      <c r="F20" s="98">
        <f>IFERROR(IF(C20=0,IF(D20&gt;0,1,0),(D20-C20)/C20),"")</f>
        <v/>
      </c>
      <c r="G20" s="51">
        <f>IF(ISNUMBER(E20),IF(E20&gt;10,"تحسن ممتاز",IF(E20&gt;0,"تحسن إيجابي",IF(E20=0,"مستقر","تراجع"))),"—")</f>
        <v/>
      </c>
    </row>
    <row r="21" ht="18" customHeight="1">
      <c r="A21" s="30" t="n">
        <v>17</v>
      </c>
      <c r="B21" s="31">
        <f>'قاعدة الأسماء'!B21</f>
        <v/>
      </c>
      <c r="C21" s="91">
        <f>IF('الاختبار القبلي'!M22="","—",'الاختبار القبلي'!M22)</f>
        <v/>
      </c>
      <c r="D21" s="92">
        <f>IF('الاختبار البعدي'!M22="","—",'الاختبار البعدي'!M22)</f>
        <v/>
      </c>
      <c r="E21" s="93">
        <f>IF(OR(C21="—",D21="—",C21="",D21=""),"",D21-C21)</f>
        <v/>
      </c>
      <c r="F21" s="94">
        <f>IFERROR(IF(C21=0,IF(D21&gt;0,1,0),(D21-C21)/C21),"")</f>
        <v/>
      </c>
      <c r="G21" s="45">
        <f>IF(ISNUMBER(E21),IF(E21&gt;10,"تحسن ممتاز",IF(E21&gt;0,"تحسن إيجابي",IF(E21=0,"مستقر","تراجع"))),"—")</f>
        <v/>
      </c>
    </row>
    <row r="22" ht="18" customHeight="1">
      <c r="A22" s="46" t="n">
        <v>18</v>
      </c>
      <c r="B22" s="47">
        <f>'قاعدة الأسماء'!B22</f>
        <v/>
      </c>
      <c r="C22" s="95">
        <f>IF('الاختبار القبلي'!M23="","—",'الاختبار القبلي'!M23)</f>
        <v/>
      </c>
      <c r="D22" s="96">
        <f>IF('الاختبار البعدي'!M23="","—",'الاختبار البعدي'!M23)</f>
        <v/>
      </c>
      <c r="E22" s="97">
        <f>IF(OR(C22="—",D22="—",C22="",D22=""),"",D22-C22)</f>
        <v/>
      </c>
      <c r="F22" s="98">
        <f>IFERROR(IF(C22=0,IF(D22&gt;0,1,0),(D22-C22)/C22),"")</f>
        <v/>
      </c>
      <c r="G22" s="51">
        <f>IF(ISNUMBER(E22),IF(E22&gt;10,"تحسن ممتاز",IF(E22&gt;0,"تحسن إيجابي",IF(E22=0,"مستقر","تراجع"))),"—")</f>
        <v/>
      </c>
    </row>
    <row r="23" ht="18" customHeight="1">
      <c r="A23" s="30" t="n">
        <v>19</v>
      </c>
      <c r="B23" s="31">
        <f>'قاعدة الأسماء'!B23</f>
        <v/>
      </c>
      <c r="C23" s="91">
        <f>IF('الاختبار القبلي'!M24="","—",'الاختبار القبلي'!M24)</f>
        <v/>
      </c>
      <c r="D23" s="92">
        <f>IF('الاختبار البعدي'!M24="","—",'الاختبار البعدي'!M24)</f>
        <v/>
      </c>
      <c r="E23" s="93">
        <f>IF(OR(C23="—",D23="—",C23="",D23=""),"",D23-C23)</f>
        <v/>
      </c>
      <c r="F23" s="94">
        <f>IFERROR(IF(C23=0,IF(D23&gt;0,1,0),(D23-C23)/C23),"")</f>
        <v/>
      </c>
      <c r="G23" s="45">
        <f>IF(ISNUMBER(E23),IF(E23&gt;10,"تحسن ممتاز",IF(E23&gt;0,"تحسن إيجابي",IF(E23=0,"مستقر","تراجع"))),"—")</f>
        <v/>
      </c>
    </row>
    <row r="24" ht="18" customHeight="1">
      <c r="A24" s="46" t="n">
        <v>20</v>
      </c>
      <c r="B24" s="47">
        <f>'قاعدة الأسماء'!B24</f>
        <v/>
      </c>
      <c r="C24" s="95">
        <f>IF('الاختبار القبلي'!M25="","—",'الاختبار القبلي'!M25)</f>
        <v/>
      </c>
      <c r="D24" s="96">
        <f>IF('الاختبار البعدي'!M25="","—",'الاختبار البعدي'!M25)</f>
        <v/>
      </c>
      <c r="E24" s="97">
        <f>IF(OR(C24="—",D24="—",C24="",D24=""),"",D24-C24)</f>
        <v/>
      </c>
      <c r="F24" s="98">
        <f>IFERROR(IF(C24=0,IF(D24&gt;0,1,0),(D24-C24)/C24),"")</f>
        <v/>
      </c>
      <c r="G24" s="51">
        <f>IF(ISNUMBER(E24),IF(E24&gt;10,"تحسن ممتاز",IF(E24&gt;0,"تحسن إيجابي",IF(E24=0,"مستقر","تراجع"))),"—")</f>
        <v/>
      </c>
    </row>
    <row r="25" ht="18" customHeight="1">
      <c r="A25" s="30" t="n">
        <v>21</v>
      </c>
      <c r="B25" s="31">
        <f>'قاعدة الأسماء'!B25</f>
        <v/>
      </c>
      <c r="C25" s="91">
        <f>IF('الاختبار القبلي'!M26="","—",'الاختبار القبلي'!M26)</f>
        <v/>
      </c>
      <c r="D25" s="92">
        <f>IF('الاختبار البعدي'!M26="","—",'الاختبار البعدي'!M26)</f>
        <v/>
      </c>
      <c r="E25" s="93">
        <f>IF(OR(C25="—",D25="—",C25="",D25=""),"",D25-C25)</f>
        <v/>
      </c>
      <c r="F25" s="94">
        <f>IFERROR(IF(C25=0,IF(D25&gt;0,1,0),(D25-C25)/C25),"")</f>
        <v/>
      </c>
      <c r="G25" s="45">
        <f>IF(ISNUMBER(E25),IF(E25&gt;10,"تحسن ممتاز",IF(E25&gt;0,"تحسن إيجابي",IF(E25=0,"مستقر","تراجع"))),"—")</f>
        <v/>
      </c>
    </row>
    <row r="26" ht="18" customHeight="1">
      <c r="A26" s="46" t="n">
        <v>22</v>
      </c>
      <c r="B26" s="47">
        <f>'قاعدة الأسماء'!B26</f>
        <v/>
      </c>
      <c r="C26" s="95">
        <f>IF('الاختبار القبلي'!M27="","—",'الاختبار القبلي'!M27)</f>
        <v/>
      </c>
      <c r="D26" s="96">
        <f>IF('الاختبار البعدي'!M27="","—",'الاختبار البعدي'!M27)</f>
        <v/>
      </c>
      <c r="E26" s="97">
        <f>IF(OR(C26="—",D26="—",C26="",D26=""),"",D26-C26)</f>
        <v/>
      </c>
      <c r="F26" s="98">
        <f>IFERROR(IF(C26=0,IF(D26&gt;0,1,0),(D26-C26)/C26),"")</f>
        <v/>
      </c>
      <c r="G26" s="51">
        <f>IF(ISNUMBER(E26),IF(E26&gt;10,"تحسن ممتاز",IF(E26&gt;0,"تحسن إيجابي",IF(E26=0,"مستقر","تراجع"))),"—")</f>
        <v/>
      </c>
    </row>
    <row r="27" ht="18" customHeight="1">
      <c r="A27" s="30" t="n">
        <v>23</v>
      </c>
      <c r="B27" s="31">
        <f>'قاعدة الأسماء'!B27</f>
        <v/>
      </c>
      <c r="C27" s="91">
        <f>IF('الاختبار القبلي'!M28="","—",'الاختبار القبلي'!M28)</f>
        <v/>
      </c>
      <c r="D27" s="92">
        <f>IF('الاختبار البعدي'!M28="","—",'الاختبار البعدي'!M28)</f>
        <v/>
      </c>
      <c r="E27" s="93">
        <f>IF(OR(C27="—",D27="—",C27="",D27=""),"",D27-C27)</f>
        <v/>
      </c>
      <c r="F27" s="94">
        <f>IFERROR(IF(C27=0,IF(D27&gt;0,1,0),(D27-C27)/C27),"")</f>
        <v/>
      </c>
      <c r="G27" s="45">
        <f>IF(ISNUMBER(E27),IF(E27&gt;10,"تحسن ممتاز",IF(E27&gt;0,"تحسن إيجابي",IF(E27=0,"مستقر","تراجع"))),"—")</f>
        <v/>
      </c>
    </row>
    <row r="28" ht="18" customHeight="1">
      <c r="A28" s="46" t="n">
        <v>24</v>
      </c>
      <c r="B28" s="47">
        <f>'قاعدة الأسماء'!B28</f>
        <v/>
      </c>
      <c r="C28" s="95">
        <f>IF('الاختبار القبلي'!M29="","—",'الاختبار القبلي'!M29)</f>
        <v/>
      </c>
      <c r="D28" s="96">
        <f>IF('الاختبار البعدي'!M29="","—",'الاختبار البعدي'!M29)</f>
        <v/>
      </c>
      <c r="E28" s="97">
        <f>IF(OR(C28="—",D28="—",C28="",D28=""),"",D28-C28)</f>
        <v/>
      </c>
      <c r="F28" s="98">
        <f>IFERROR(IF(C28=0,IF(D28&gt;0,1,0),(D28-C28)/C28),"")</f>
        <v/>
      </c>
      <c r="G28" s="51">
        <f>IF(ISNUMBER(E28),IF(E28&gt;10,"تحسن ممتاز",IF(E28&gt;0,"تحسن إيجابي",IF(E28=0,"مستقر","تراجع"))),"—")</f>
        <v/>
      </c>
    </row>
    <row r="29" ht="18" customHeight="1">
      <c r="A29" s="30" t="n">
        <v>25</v>
      </c>
      <c r="B29" s="31">
        <f>'قاعدة الأسماء'!B29</f>
        <v/>
      </c>
      <c r="C29" s="91">
        <f>IF('الاختبار القبلي'!M30="","—",'الاختبار القبلي'!M30)</f>
        <v/>
      </c>
      <c r="D29" s="92">
        <f>IF('الاختبار البعدي'!M30="","—",'الاختبار البعدي'!M30)</f>
        <v/>
      </c>
      <c r="E29" s="93">
        <f>IF(OR(C29="—",D29="—",C29="",D29=""),"",D29-C29)</f>
        <v/>
      </c>
      <c r="F29" s="94">
        <f>IFERROR(IF(C29=0,IF(D29&gt;0,1,0),(D29-C29)/C29),"")</f>
        <v/>
      </c>
      <c r="G29" s="45">
        <f>IF(ISNUMBER(E29),IF(E29&gt;10,"تحسن ممتاز",IF(E29&gt;0,"تحسن إيجابي",IF(E29=0,"مستقر","تراجع"))),"—")</f>
        <v/>
      </c>
    </row>
    <row r="30" ht="18" customHeight="1">
      <c r="A30" s="46" t="n">
        <v>26</v>
      </c>
      <c r="B30" s="47">
        <f>'قاعدة الأسماء'!B30</f>
        <v/>
      </c>
      <c r="C30" s="95">
        <f>IF('الاختبار القبلي'!M31="","—",'الاختبار القبلي'!M31)</f>
        <v/>
      </c>
      <c r="D30" s="96">
        <f>IF('الاختبار البعدي'!M31="","—",'الاختبار البعدي'!M31)</f>
        <v/>
      </c>
      <c r="E30" s="97">
        <f>IF(OR(C30="—",D30="—",C30="",D30=""),"",D30-C30)</f>
        <v/>
      </c>
      <c r="F30" s="98">
        <f>IFERROR(IF(C30=0,IF(D30&gt;0,1,0),(D30-C30)/C30),"")</f>
        <v/>
      </c>
      <c r="G30" s="51">
        <f>IF(ISNUMBER(E30),IF(E30&gt;10,"تحسن ممتاز",IF(E30&gt;0,"تحسن إيجابي",IF(E30=0,"مستقر","تراجع"))),"—")</f>
        <v/>
      </c>
    </row>
    <row r="31" ht="18" customHeight="1">
      <c r="A31" s="30" t="n">
        <v>27</v>
      </c>
      <c r="B31" s="31">
        <f>'قاعدة الأسماء'!B31</f>
        <v/>
      </c>
      <c r="C31" s="91">
        <f>IF('الاختبار القبلي'!M32="","—",'الاختبار القبلي'!M32)</f>
        <v/>
      </c>
      <c r="D31" s="92">
        <f>IF('الاختبار البعدي'!M32="","—",'الاختبار البعدي'!M32)</f>
        <v/>
      </c>
      <c r="E31" s="93">
        <f>IF(OR(C31="—",D31="—",C31="",D31=""),"",D31-C31)</f>
        <v/>
      </c>
      <c r="F31" s="94">
        <f>IFERROR(IF(C31=0,IF(D31&gt;0,1,0),(D31-C31)/C31),"")</f>
        <v/>
      </c>
      <c r="G31" s="45">
        <f>IF(ISNUMBER(E31),IF(E31&gt;10,"تحسن ممتاز",IF(E31&gt;0,"تحسن إيجابي",IF(E31=0,"مستقر","تراجع"))),"—")</f>
        <v/>
      </c>
    </row>
    <row r="32" ht="18" customHeight="1">
      <c r="A32" s="46" t="n">
        <v>28</v>
      </c>
      <c r="B32" s="47">
        <f>'قاعدة الأسماء'!B32</f>
        <v/>
      </c>
      <c r="C32" s="95">
        <f>IF('الاختبار القبلي'!M33="","—",'الاختبار القبلي'!M33)</f>
        <v/>
      </c>
      <c r="D32" s="96">
        <f>IF('الاختبار البعدي'!M33="","—",'الاختبار البعدي'!M33)</f>
        <v/>
      </c>
      <c r="E32" s="97">
        <f>IF(OR(C32="—",D32="—",C32="",D32=""),"",D32-C32)</f>
        <v/>
      </c>
      <c r="F32" s="98">
        <f>IFERROR(IF(C32=0,IF(D32&gt;0,1,0),(D32-C32)/C32),"")</f>
        <v/>
      </c>
      <c r="G32" s="51">
        <f>IF(ISNUMBER(E32),IF(E32&gt;10,"تحسن ممتاز",IF(E32&gt;0,"تحسن إيجابي",IF(E32=0,"مستقر","تراجع"))),"—")</f>
        <v/>
      </c>
    </row>
    <row r="33" ht="18" customHeight="1">
      <c r="A33" s="30" t="n">
        <v>29</v>
      </c>
      <c r="B33" s="31">
        <f>'قاعدة الأسماء'!B33</f>
        <v/>
      </c>
      <c r="C33" s="91">
        <f>IF('الاختبار القبلي'!M34="","—",'الاختبار القبلي'!M34)</f>
        <v/>
      </c>
      <c r="D33" s="92">
        <f>IF('الاختبار البعدي'!M34="","—",'الاختبار البعدي'!M34)</f>
        <v/>
      </c>
      <c r="E33" s="93">
        <f>IF(OR(C33="—",D33="—",C33="",D33=""),"",D33-C33)</f>
        <v/>
      </c>
      <c r="F33" s="94">
        <f>IFERROR(IF(C33=0,IF(D33&gt;0,1,0),(D33-C33)/C33),"")</f>
        <v/>
      </c>
      <c r="G33" s="45">
        <f>IF(ISNUMBER(E33),IF(E33&gt;10,"تحسن ممتاز",IF(E33&gt;0,"تحسن إيجابي",IF(E33=0,"مستقر","تراجع"))),"—")</f>
        <v/>
      </c>
    </row>
    <row r="34" ht="18" customHeight="1">
      <c r="A34" s="46" t="n">
        <v>30</v>
      </c>
      <c r="B34" s="47">
        <f>'قاعدة الأسماء'!B34</f>
        <v/>
      </c>
      <c r="C34" s="95">
        <f>IF('الاختبار القبلي'!M35="","—",'الاختبار القبلي'!M35)</f>
        <v/>
      </c>
      <c r="D34" s="96">
        <f>IF('الاختبار البعدي'!M35="","—",'الاختبار البعدي'!M35)</f>
        <v/>
      </c>
      <c r="E34" s="97">
        <f>IF(OR(C34="—",D34="—",C34="",D34=""),"",D34-C34)</f>
        <v/>
      </c>
      <c r="F34" s="98">
        <f>IFERROR(IF(C34=0,IF(D34&gt;0,1,0),(D34-C34)/C34),"")</f>
        <v/>
      </c>
      <c r="G34" s="51">
        <f>IF(ISNUMBER(E34),IF(E34&gt;10,"تحسن ممتاز",IF(E34&gt;0,"تحسن إيجابي",IF(E34=0,"مستقر","تراجع"))),"—")</f>
        <v/>
      </c>
    </row>
    <row r="35" ht="18" customHeight="1">
      <c r="A35" s="30" t="n">
        <v>31</v>
      </c>
      <c r="B35" s="31">
        <f>'قاعدة الأسماء'!B35</f>
        <v/>
      </c>
      <c r="C35" s="91">
        <f>IF('الاختبار القبلي'!M36="","—",'الاختبار القبلي'!M36)</f>
        <v/>
      </c>
      <c r="D35" s="92">
        <f>IF('الاختبار البعدي'!M36="","—",'الاختبار البعدي'!M36)</f>
        <v/>
      </c>
      <c r="E35" s="93">
        <f>IF(OR(C35="—",D35="—",C35="",D35=""),"",D35-C35)</f>
        <v/>
      </c>
      <c r="F35" s="94">
        <f>IFERROR(IF(C35=0,IF(D35&gt;0,1,0),(D35-C35)/C35),"")</f>
        <v/>
      </c>
      <c r="G35" s="45">
        <f>IF(ISNUMBER(E35),IF(E35&gt;10,"تحسن ممتاز",IF(E35&gt;0,"تحسن إيجابي",IF(E35=0,"مستقر","تراجع"))),"—")</f>
        <v/>
      </c>
    </row>
    <row r="36" ht="18" customHeight="1">
      <c r="A36" s="46" t="n">
        <v>32</v>
      </c>
      <c r="B36" s="47">
        <f>'قاعدة الأسماء'!B36</f>
        <v/>
      </c>
      <c r="C36" s="95">
        <f>IF('الاختبار القبلي'!M37="","—",'الاختبار القبلي'!M37)</f>
        <v/>
      </c>
      <c r="D36" s="96">
        <f>IF('الاختبار البعدي'!M37="","—",'الاختبار البعدي'!M37)</f>
        <v/>
      </c>
      <c r="E36" s="97">
        <f>IF(OR(C36="—",D36="—",C36="",D36=""),"",D36-C36)</f>
        <v/>
      </c>
      <c r="F36" s="98">
        <f>IFERROR(IF(C36=0,IF(D36&gt;0,1,0),(D36-C36)/C36),"")</f>
        <v/>
      </c>
      <c r="G36" s="51">
        <f>IF(ISNUMBER(E36),IF(E36&gt;10,"تحسن ممتاز",IF(E36&gt;0,"تحسن إيجابي",IF(E36=0,"مستقر","تراجع"))),"—")</f>
        <v/>
      </c>
    </row>
    <row r="37" ht="18" customHeight="1">
      <c r="A37" s="30" t="n">
        <v>33</v>
      </c>
      <c r="B37" s="31">
        <f>'قاعدة الأسماء'!B37</f>
        <v/>
      </c>
      <c r="C37" s="91">
        <f>IF('الاختبار القبلي'!M38="","—",'الاختبار القبلي'!M38)</f>
        <v/>
      </c>
      <c r="D37" s="92">
        <f>IF('الاختبار البعدي'!M38="","—",'الاختبار البعدي'!M38)</f>
        <v/>
      </c>
      <c r="E37" s="93">
        <f>IF(OR(C37="—",D37="—",C37="",D37=""),"",D37-C37)</f>
        <v/>
      </c>
      <c r="F37" s="94">
        <f>IFERROR(IF(C37=0,IF(D37&gt;0,1,0),(D37-C37)/C37),"")</f>
        <v/>
      </c>
      <c r="G37" s="45">
        <f>IF(ISNUMBER(E37),IF(E37&gt;10,"تحسن ممتاز",IF(E37&gt;0,"تحسن إيجابي",IF(E37=0,"مستقر","تراجع"))),"—")</f>
        <v/>
      </c>
    </row>
    <row r="38" ht="18" customHeight="1">
      <c r="A38" s="46" t="n">
        <v>34</v>
      </c>
      <c r="B38" s="47">
        <f>'قاعدة الأسماء'!B38</f>
        <v/>
      </c>
      <c r="C38" s="95">
        <f>IF('الاختبار القبلي'!M39="","—",'الاختبار القبلي'!M39)</f>
        <v/>
      </c>
      <c r="D38" s="96">
        <f>IF('الاختبار البعدي'!M39="","—",'الاختبار البعدي'!M39)</f>
        <v/>
      </c>
      <c r="E38" s="97">
        <f>IF(OR(C38="—",D38="—",C38="",D38=""),"",D38-C38)</f>
        <v/>
      </c>
      <c r="F38" s="98">
        <f>IFERROR(IF(C38=0,IF(D38&gt;0,1,0),(D38-C38)/C38),"")</f>
        <v/>
      </c>
      <c r="G38" s="51">
        <f>IF(ISNUMBER(E38),IF(E38&gt;10,"تحسن ممتاز",IF(E38&gt;0,"تحسن إيجابي",IF(E38=0,"مستقر","تراجع"))),"—")</f>
        <v/>
      </c>
    </row>
    <row r="39" ht="18" customHeight="1">
      <c r="A39" s="30" t="n">
        <v>35</v>
      </c>
      <c r="B39" s="31">
        <f>'قاعدة الأسماء'!B39</f>
        <v/>
      </c>
      <c r="C39" s="91">
        <f>IF('الاختبار القبلي'!M40="","—",'الاختبار القبلي'!M40)</f>
        <v/>
      </c>
      <c r="D39" s="92">
        <f>IF('الاختبار البعدي'!M40="","—",'الاختبار البعدي'!M40)</f>
        <v/>
      </c>
      <c r="E39" s="93">
        <f>IF(OR(C39="—",D39="—",C39="",D39=""),"",D39-C39)</f>
        <v/>
      </c>
      <c r="F39" s="94">
        <f>IFERROR(IF(C39=0,IF(D39&gt;0,1,0),(D39-C39)/C39),"")</f>
        <v/>
      </c>
      <c r="G39" s="45">
        <f>IF(ISNUMBER(E39),IF(E39&gt;10,"تحسن ممتاز",IF(E39&gt;0,"تحسن إيجابي",IF(E39=0,"مستقر","تراجع"))),"—")</f>
        <v/>
      </c>
    </row>
    <row r="40" ht="18" customHeight="1">
      <c r="A40" s="46" t="n">
        <v>36</v>
      </c>
      <c r="B40" s="47">
        <f>'قاعدة الأسماء'!B40</f>
        <v/>
      </c>
      <c r="C40" s="95">
        <f>IF('الاختبار القبلي'!M41="","—",'الاختبار القبلي'!M41)</f>
        <v/>
      </c>
      <c r="D40" s="96">
        <f>IF('الاختبار البعدي'!M41="","—",'الاختبار البعدي'!M41)</f>
        <v/>
      </c>
      <c r="E40" s="97">
        <f>IF(OR(C40="—",D40="—",C40="",D40=""),"",D40-C40)</f>
        <v/>
      </c>
      <c r="F40" s="98">
        <f>IFERROR(IF(C40=0,IF(D40&gt;0,1,0),(D40-C40)/C40),"")</f>
        <v/>
      </c>
      <c r="G40" s="51">
        <f>IF(ISNUMBER(E40),IF(E40&gt;10,"تحسن ممتاز",IF(E40&gt;0,"تحسن إيجابي",IF(E40=0,"مستقر","تراجع"))),"—")</f>
        <v/>
      </c>
    </row>
    <row r="41" ht="18" customHeight="1">
      <c r="A41" s="30" t="n">
        <v>37</v>
      </c>
      <c r="B41" s="31">
        <f>'قاعدة الأسماء'!B41</f>
        <v/>
      </c>
      <c r="C41" s="91">
        <f>IF('الاختبار القبلي'!M42="","—",'الاختبار القبلي'!M42)</f>
        <v/>
      </c>
      <c r="D41" s="92">
        <f>IF('الاختبار البعدي'!M42="","—",'الاختبار البعدي'!M42)</f>
        <v/>
      </c>
      <c r="E41" s="93">
        <f>IF(OR(C41="—",D41="—",C41="",D41=""),"",D41-C41)</f>
        <v/>
      </c>
      <c r="F41" s="94">
        <f>IFERROR(IF(C41=0,IF(D41&gt;0,1,0),(D41-C41)/C41),"")</f>
        <v/>
      </c>
      <c r="G41" s="45">
        <f>IF(ISNUMBER(E41),IF(E41&gt;10,"تحسن ممتاز",IF(E41&gt;0,"تحسن إيجابي",IF(E41=0,"مستقر","تراجع"))),"—")</f>
        <v/>
      </c>
    </row>
    <row r="42" ht="18" customHeight="1">
      <c r="A42" s="46" t="n">
        <v>38</v>
      </c>
      <c r="B42" s="47">
        <f>'قاعدة الأسماء'!B42</f>
        <v/>
      </c>
      <c r="C42" s="95">
        <f>IF('الاختبار القبلي'!M43="","—",'الاختبار القبلي'!M43)</f>
        <v/>
      </c>
      <c r="D42" s="96">
        <f>IF('الاختبار البعدي'!M43="","—",'الاختبار البعدي'!M43)</f>
        <v/>
      </c>
      <c r="E42" s="97">
        <f>IF(OR(C42="—",D42="—",C42="",D42=""),"",D42-C42)</f>
        <v/>
      </c>
      <c r="F42" s="98">
        <f>IFERROR(IF(C42=0,IF(D42&gt;0,1,0),(D42-C42)/C42),"")</f>
        <v/>
      </c>
      <c r="G42" s="51">
        <f>IF(ISNUMBER(E42),IF(E42&gt;10,"تحسن ممتاز",IF(E42&gt;0,"تحسن إيجابي",IF(E42=0,"مستقر","تراجع"))),"—")</f>
        <v/>
      </c>
    </row>
    <row r="43" ht="18" customHeight="1">
      <c r="A43" s="30" t="n">
        <v>39</v>
      </c>
      <c r="B43" s="31">
        <f>'قاعدة الأسماء'!B43</f>
        <v/>
      </c>
      <c r="C43" s="91">
        <f>IF('الاختبار القبلي'!M44="","—",'الاختبار القبلي'!M44)</f>
        <v/>
      </c>
      <c r="D43" s="92">
        <f>IF('الاختبار البعدي'!M44="","—",'الاختبار البعدي'!M44)</f>
        <v/>
      </c>
      <c r="E43" s="93">
        <f>IF(OR(C43="—",D43="—",C43="",D43=""),"",D43-C43)</f>
        <v/>
      </c>
      <c r="F43" s="94">
        <f>IFERROR(IF(C43=0,IF(D43&gt;0,1,0),(D43-C43)/C43),"")</f>
        <v/>
      </c>
      <c r="G43" s="45">
        <f>IF(ISNUMBER(E43),IF(E43&gt;10,"تحسن ممتاز",IF(E43&gt;0,"تحسن إيجابي",IF(E43=0,"مستقر","تراجع"))),"—")</f>
        <v/>
      </c>
    </row>
    <row r="44" ht="18" customHeight="1">
      <c r="A44" s="46" t="n">
        <v>40</v>
      </c>
      <c r="B44" s="47">
        <f>'قاعدة الأسماء'!B44</f>
        <v/>
      </c>
      <c r="C44" s="95">
        <f>IF('الاختبار القبلي'!M45="","—",'الاختبار القبلي'!M45)</f>
        <v/>
      </c>
      <c r="D44" s="96">
        <f>IF('الاختبار البعدي'!M45="","—",'الاختبار البعدي'!M45)</f>
        <v/>
      </c>
      <c r="E44" s="97">
        <f>IF(OR(C44="—",D44="—",C44="",D44=""),"",D44-C44)</f>
        <v/>
      </c>
      <c r="F44" s="98">
        <f>IFERROR(IF(C44=0,IF(D44&gt;0,1,0),(D44-C44)/C44),"")</f>
        <v/>
      </c>
      <c r="G44" s="51">
        <f>IF(ISNUMBER(E44),IF(E44&gt;10,"تحسن ممتاز",IF(E44&gt;0,"تحسن إيجابي",IF(E44=0,"مستقر","تراجع"))),"—")</f>
        <v/>
      </c>
    </row>
    <row r="45" ht="18" customHeight="1">
      <c r="A45" s="30" t="n">
        <v>41</v>
      </c>
      <c r="B45" s="31">
        <f>'قاعدة الأسماء'!B45</f>
        <v/>
      </c>
      <c r="C45" s="91">
        <f>IF('الاختبار القبلي'!M46="","—",'الاختبار القبلي'!M46)</f>
        <v/>
      </c>
      <c r="D45" s="92">
        <f>IF('الاختبار البعدي'!M46="","—",'الاختبار البعدي'!M46)</f>
        <v/>
      </c>
      <c r="E45" s="93">
        <f>IF(OR(C45="—",D45="—",C45="",D45=""),"",D45-C45)</f>
        <v/>
      </c>
      <c r="F45" s="94">
        <f>IFERROR(IF(C45=0,IF(D45&gt;0,1,0),(D45-C45)/C45),"")</f>
        <v/>
      </c>
      <c r="G45" s="45">
        <f>IF(ISNUMBER(E45),IF(E45&gt;10,"تحسن ممتاز",IF(E45&gt;0,"تحسن إيجابي",IF(E45=0,"مستقر","تراجع"))),"—")</f>
        <v/>
      </c>
    </row>
    <row r="46" ht="18" customHeight="1">
      <c r="A46" s="46" t="n">
        <v>42</v>
      </c>
      <c r="B46" s="47">
        <f>'قاعدة الأسماء'!B46</f>
        <v/>
      </c>
      <c r="C46" s="95">
        <f>IF('الاختبار القبلي'!M47="","—",'الاختبار القبلي'!M47)</f>
        <v/>
      </c>
      <c r="D46" s="96">
        <f>IF('الاختبار البعدي'!M47="","—",'الاختبار البعدي'!M47)</f>
        <v/>
      </c>
      <c r="E46" s="97">
        <f>IF(OR(C46="—",D46="—",C46="",D46=""),"",D46-C46)</f>
        <v/>
      </c>
      <c r="F46" s="98">
        <f>IFERROR(IF(C46=0,IF(D46&gt;0,1,0),(D46-C46)/C46),"")</f>
        <v/>
      </c>
      <c r="G46" s="51">
        <f>IF(ISNUMBER(E46),IF(E46&gt;10,"تحسن ممتاز",IF(E46&gt;0,"تحسن إيجابي",IF(E46=0,"مستقر","تراجع"))),"—")</f>
        <v/>
      </c>
    </row>
    <row r="47" ht="18" customHeight="1">
      <c r="A47" s="30" t="n">
        <v>43</v>
      </c>
      <c r="B47" s="31">
        <f>'قاعدة الأسماء'!B47</f>
        <v/>
      </c>
      <c r="C47" s="91">
        <f>IF('الاختبار القبلي'!M48="","—",'الاختبار القبلي'!M48)</f>
        <v/>
      </c>
      <c r="D47" s="92">
        <f>IF('الاختبار البعدي'!M48="","—",'الاختبار البعدي'!M48)</f>
        <v/>
      </c>
      <c r="E47" s="93">
        <f>IF(OR(C47="—",D47="—",C47="",D47=""),"",D47-C47)</f>
        <v/>
      </c>
      <c r="F47" s="94">
        <f>IFERROR(IF(C47=0,IF(D47&gt;0,1,0),(D47-C47)/C47),"")</f>
        <v/>
      </c>
      <c r="G47" s="45">
        <f>IF(ISNUMBER(E47),IF(E47&gt;10,"تحسن ممتاز",IF(E47&gt;0,"تحسن إيجابي",IF(E47=0,"مستقر","تراجع"))),"—")</f>
        <v/>
      </c>
    </row>
    <row r="48" ht="18" customHeight="1">
      <c r="A48" s="46" t="n">
        <v>44</v>
      </c>
      <c r="B48" s="47">
        <f>'قاعدة الأسماء'!B48</f>
        <v/>
      </c>
      <c r="C48" s="95">
        <f>IF('الاختبار القبلي'!M49="","—",'الاختبار القبلي'!M49)</f>
        <v/>
      </c>
      <c r="D48" s="96">
        <f>IF('الاختبار البعدي'!M49="","—",'الاختبار البعدي'!M49)</f>
        <v/>
      </c>
      <c r="E48" s="97">
        <f>IF(OR(C48="—",D48="—",C48="",D48=""),"",D48-C48)</f>
        <v/>
      </c>
      <c r="F48" s="98">
        <f>IFERROR(IF(C48=0,IF(D48&gt;0,1,0),(D48-C48)/C48),"")</f>
        <v/>
      </c>
      <c r="G48" s="51">
        <f>IF(ISNUMBER(E48),IF(E48&gt;10,"تحسن ممتاز",IF(E48&gt;0,"تحسن إيجابي",IF(E48=0,"مستقر","تراجع"))),"—")</f>
        <v/>
      </c>
    </row>
    <row r="49" ht="18" customHeight="1">
      <c r="A49" s="30" t="n">
        <v>45</v>
      </c>
      <c r="B49" s="31">
        <f>'قاعدة الأسماء'!B49</f>
        <v/>
      </c>
      <c r="C49" s="91">
        <f>IF('الاختبار القبلي'!M50="","—",'الاختبار القبلي'!M50)</f>
        <v/>
      </c>
      <c r="D49" s="92">
        <f>IF('الاختبار البعدي'!M50="","—",'الاختبار البعدي'!M50)</f>
        <v/>
      </c>
      <c r="E49" s="93">
        <f>IF(OR(C49="—",D49="—",C49="",D49=""),"",D49-C49)</f>
        <v/>
      </c>
      <c r="F49" s="94">
        <f>IFERROR(IF(C49=0,IF(D49&gt;0,1,0),(D49-C49)/C49),"")</f>
        <v/>
      </c>
      <c r="G49" s="45">
        <f>IF(ISNUMBER(E49),IF(E49&gt;10,"تحسن ممتاز",IF(E49&gt;0,"تحسن إيجابي",IF(E49=0,"مستقر","تراجع"))),"—")</f>
        <v/>
      </c>
    </row>
    <row r="50" ht="18" customHeight="1">
      <c r="A50" s="46" t="n">
        <v>46</v>
      </c>
      <c r="B50" s="47">
        <f>'قاعدة الأسماء'!B50</f>
        <v/>
      </c>
      <c r="C50" s="95">
        <f>IF('الاختبار القبلي'!M51="","—",'الاختبار القبلي'!M51)</f>
        <v/>
      </c>
      <c r="D50" s="96">
        <f>IF('الاختبار البعدي'!M51="","—",'الاختبار البعدي'!M51)</f>
        <v/>
      </c>
      <c r="E50" s="97">
        <f>IF(OR(C50="—",D50="—",C50="",D50=""),"",D50-C50)</f>
        <v/>
      </c>
      <c r="F50" s="98">
        <f>IFERROR(IF(C50=0,IF(D50&gt;0,1,0),(D50-C50)/C50),"")</f>
        <v/>
      </c>
      <c r="G50" s="51">
        <f>IF(ISNUMBER(E50),IF(E50&gt;10,"تحسن ممتاز",IF(E50&gt;0,"تحسن إيجابي",IF(E50=0,"مستقر","تراجع"))),"—")</f>
        <v/>
      </c>
    </row>
    <row r="51" ht="18" customHeight="1">
      <c r="A51" s="30" t="n">
        <v>47</v>
      </c>
      <c r="B51" s="31">
        <f>'قاعدة الأسماء'!B51</f>
        <v/>
      </c>
      <c r="C51" s="91">
        <f>IF('الاختبار القبلي'!M52="","—",'الاختبار القبلي'!M52)</f>
        <v/>
      </c>
      <c r="D51" s="92">
        <f>IF('الاختبار البعدي'!M52="","—",'الاختبار البعدي'!M52)</f>
        <v/>
      </c>
      <c r="E51" s="93">
        <f>IF(OR(C51="—",D51="—",C51="",D51=""),"",D51-C51)</f>
        <v/>
      </c>
      <c r="F51" s="94">
        <f>IFERROR(IF(C51=0,IF(D51&gt;0,1,0),(D51-C51)/C51),"")</f>
        <v/>
      </c>
      <c r="G51" s="45">
        <f>IF(ISNUMBER(E51),IF(E51&gt;10,"تحسن ممتاز",IF(E51&gt;0,"تحسن إيجابي",IF(E51=0,"مستقر","تراجع"))),"—")</f>
        <v/>
      </c>
    </row>
    <row r="52" ht="18" customHeight="1">
      <c r="A52" s="46" t="n">
        <v>48</v>
      </c>
      <c r="B52" s="47">
        <f>'قاعدة الأسماء'!B52</f>
        <v/>
      </c>
      <c r="C52" s="95">
        <f>IF('الاختبار القبلي'!M53="","—",'الاختبار القبلي'!M53)</f>
        <v/>
      </c>
      <c r="D52" s="96">
        <f>IF('الاختبار البعدي'!M53="","—",'الاختبار البعدي'!M53)</f>
        <v/>
      </c>
      <c r="E52" s="97">
        <f>IF(OR(C52="—",D52="—",C52="",D52=""),"",D52-C52)</f>
        <v/>
      </c>
      <c r="F52" s="98">
        <f>IFERROR(IF(C52=0,IF(D52&gt;0,1,0),(D52-C52)/C52),"")</f>
        <v/>
      </c>
      <c r="G52" s="51">
        <f>IF(ISNUMBER(E52),IF(E52&gt;10,"تحسن ممتاز",IF(E52&gt;0,"تحسن إيجابي",IF(E52=0,"مستقر","تراجع"))),"—")</f>
        <v/>
      </c>
    </row>
    <row r="53" ht="18" customHeight="1">
      <c r="A53" s="30" t="n">
        <v>49</v>
      </c>
      <c r="B53" s="31">
        <f>'قاعدة الأسماء'!B53</f>
        <v/>
      </c>
      <c r="C53" s="91">
        <f>IF('الاختبار القبلي'!M54="","—",'الاختبار القبلي'!M54)</f>
        <v/>
      </c>
      <c r="D53" s="92">
        <f>IF('الاختبار البعدي'!M54="","—",'الاختبار البعدي'!M54)</f>
        <v/>
      </c>
      <c r="E53" s="93">
        <f>IF(OR(C53="—",D53="—",C53="",D53=""),"",D53-C53)</f>
        <v/>
      </c>
      <c r="F53" s="94">
        <f>IFERROR(IF(C53=0,IF(D53&gt;0,1,0),(D53-C53)/C53),"")</f>
        <v/>
      </c>
      <c r="G53" s="45">
        <f>IF(ISNUMBER(E53),IF(E53&gt;10,"تحسن ممتاز",IF(E53&gt;0,"تحسن إيجابي",IF(E53=0,"مستقر","تراجع"))),"—")</f>
        <v/>
      </c>
    </row>
    <row r="54" ht="18" customHeight="1">
      <c r="A54" s="46" t="n">
        <v>50</v>
      </c>
      <c r="B54" s="47">
        <f>'قاعدة الأسماء'!B54</f>
        <v/>
      </c>
      <c r="C54" s="95">
        <f>IF('الاختبار القبلي'!M55="","—",'الاختبار القبلي'!M55)</f>
        <v/>
      </c>
      <c r="D54" s="96">
        <f>IF('الاختبار البعدي'!M55="","—",'الاختبار البعدي'!M55)</f>
        <v/>
      </c>
      <c r="E54" s="97">
        <f>IF(OR(C54="—",D54="—",C54="",D54=""),"",D54-C54)</f>
        <v/>
      </c>
      <c r="F54" s="98">
        <f>IFERROR(IF(C54=0,IF(D54&gt;0,1,0),(D54-C54)/C54),"")</f>
        <v/>
      </c>
      <c r="G54" s="51">
        <f>IF(ISNUMBER(E54),IF(E54&gt;10,"تحسن ممتاز",IF(E54&gt;0,"تحسن إيجابي",IF(E54=0,"مستقر","تراجع"))),"—")</f>
        <v/>
      </c>
    </row>
    <row r="55" ht="18" customHeight="1">
      <c r="A55" s="30" t="n">
        <v>51</v>
      </c>
      <c r="B55" s="31">
        <f>'قاعدة الأسماء'!B55</f>
        <v/>
      </c>
      <c r="C55" s="91">
        <f>IF('الاختبار القبلي'!M56="","—",'الاختبار القبلي'!M56)</f>
        <v/>
      </c>
      <c r="D55" s="92">
        <f>IF('الاختبار البعدي'!M56="","—",'الاختبار البعدي'!M56)</f>
        <v/>
      </c>
      <c r="E55" s="93">
        <f>IF(OR(C55="—",D55="—",C55="",D55=""),"",D55-C55)</f>
        <v/>
      </c>
      <c r="F55" s="94">
        <f>IFERROR(IF(C55=0,IF(D55&gt;0,1,0),(D55-C55)/C55),"")</f>
        <v/>
      </c>
      <c r="G55" s="45">
        <f>IF(ISNUMBER(E55),IF(E55&gt;10,"تحسن ممتاز",IF(E55&gt;0,"تحسن إيجابي",IF(E55=0,"مستقر","تراجع"))),"—")</f>
        <v/>
      </c>
    </row>
    <row r="56" ht="18" customHeight="1">
      <c r="A56" s="46" t="n">
        <v>52</v>
      </c>
      <c r="B56" s="47">
        <f>'قاعدة الأسماء'!B56</f>
        <v/>
      </c>
      <c r="C56" s="95">
        <f>IF('الاختبار القبلي'!M57="","—",'الاختبار القبلي'!M57)</f>
        <v/>
      </c>
      <c r="D56" s="96">
        <f>IF('الاختبار البعدي'!M57="","—",'الاختبار البعدي'!M57)</f>
        <v/>
      </c>
      <c r="E56" s="97">
        <f>IF(OR(C56="—",D56="—",C56="",D56=""),"",D56-C56)</f>
        <v/>
      </c>
      <c r="F56" s="98">
        <f>IFERROR(IF(C56=0,IF(D56&gt;0,1,0),(D56-C56)/C56),"")</f>
        <v/>
      </c>
      <c r="G56" s="51">
        <f>IF(ISNUMBER(E56),IF(E56&gt;10,"تحسن ممتاز",IF(E56&gt;0,"تحسن إيجابي",IF(E56=0,"مستقر","تراجع"))),"—")</f>
        <v/>
      </c>
    </row>
    <row r="57" ht="18" customHeight="1">
      <c r="A57" s="30" t="n">
        <v>53</v>
      </c>
      <c r="B57" s="31">
        <f>'قاعدة الأسماء'!B57</f>
        <v/>
      </c>
      <c r="C57" s="91">
        <f>IF('الاختبار القبلي'!M58="","—",'الاختبار القبلي'!M58)</f>
        <v/>
      </c>
      <c r="D57" s="92">
        <f>IF('الاختبار البعدي'!M58="","—",'الاختبار البعدي'!M58)</f>
        <v/>
      </c>
      <c r="E57" s="93">
        <f>IF(OR(C57="—",D57="—",C57="",D57=""),"",D57-C57)</f>
        <v/>
      </c>
      <c r="F57" s="94">
        <f>IFERROR(IF(C57=0,IF(D57&gt;0,1,0),(D57-C57)/C57),"")</f>
        <v/>
      </c>
      <c r="G57" s="45">
        <f>IF(ISNUMBER(E57),IF(E57&gt;10,"تحسن ممتاز",IF(E57&gt;0,"تحسن إيجابي",IF(E57=0,"مستقر","تراجع"))),"—")</f>
        <v/>
      </c>
    </row>
    <row r="58" ht="18" customHeight="1">
      <c r="A58" s="46" t="n">
        <v>54</v>
      </c>
      <c r="B58" s="47">
        <f>'قاعدة الأسماء'!B58</f>
        <v/>
      </c>
      <c r="C58" s="95">
        <f>IF('الاختبار القبلي'!M59="","—",'الاختبار القبلي'!M59)</f>
        <v/>
      </c>
      <c r="D58" s="96">
        <f>IF('الاختبار البعدي'!M59="","—",'الاختبار البعدي'!M59)</f>
        <v/>
      </c>
      <c r="E58" s="97">
        <f>IF(OR(C58="—",D58="—",C58="",D58=""),"",D58-C58)</f>
        <v/>
      </c>
      <c r="F58" s="98">
        <f>IFERROR(IF(C58=0,IF(D58&gt;0,1,0),(D58-C58)/C58),"")</f>
        <v/>
      </c>
      <c r="G58" s="51">
        <f>IF(ISNUMBER(E58),IF(E58&gt;10,"تحسن ممتاز",IF(E58&gt;0,"تحسن إيجابي",IF(E58=0,"مستقر","تراجع"))),"—")</f>
        <v/>
      </c>
    </row>
    <row r="59" ht="18" customHeight="1">
      <c r="A59" s="30" t="n">
        <v>55</v>
      </c>
      <c r="B59" s="31">
        <f>'قاعدة الأسماء'!B59</f>
        <v/>
      </c>
      <c r="C59" s="91">
        <f>IF('الاختبار القبلي'!M60="","—",'الاختبار القبلي'!M60)</f>
        <v/>
      </c>
      <c r="D59" s="92">
        <f>IF('الاختبار البعدي'!M60="","—",'الاختبار البعدي'!M60)</f>
        <v/>
      </c>
      <c r="E59" s="93">
        <f>IF(OR(C59="—",D59="—",C59="",D59=""),"",D59-C59)</f>
        <v/>
      </c>
      <c r="F59" s="94">
        <f>IFERROR(IF(C59=0,IF(D59&gt;0,1,0),(D59-C59)/C59),"")</f>
        <v/>
      </c>
      <c r="G59" s="45">
        <f>IF(ISNUMBER(E59),IF(E59&gt;10,"تحسن ممتاز",IF(E59&gt;0,"تحسن إيجابي",IF(E59=0,"مستقر","تراجع"))),"—")</f>
        <v/>
      </c>
    </row>
    <row r="60" ht="18" customHeight="1">
      <c r="A60" s="46" t="n">
        <v>56</v>
      </c>
      <c r="B60" s="47">
        <f>'قاعدة الأسماء'!B60</f>
        <v/>
      </c>
      <c r="C60" s="95">
        <f>IF('الاختبار القبلي'!M61="","—",'الاختبار القبلي'!M61)</f>
        <v/>
      </c>
      <c r="D60" s="96">
        <f>IF('الاختبار البعدي'!M61="","—",'الاختبار البعدي'!M61)</f>
        <v/>
      </c>
      <c r="E60" s="97">
        <f>IF(OR(C60="—",D60="—",C60="",D60=""),"",D60-C60)</f>
        <v/>
      </c>
      <c r="F60" s="98">
        <f>IFERROR(IF(C60=0,IF(D60&gt;0,1,0),(D60-C60)/C60),"")</f>
        <v/>
      </c>
      <c r="G60" s="51">
        <f>IF(ISNUMBER(E60),IF(E60&gt;10,"تحسن ممتاز",IF(E60&gt;0,"تحسن إيجابي",IF(E60=0,"مستقر","تراجع"))),"—")</f>
        <v/>
      </c>
    </row>
    <row r="61" ht="18" customHeight="1">
      <c r="A61" s="30" t="n">
        <v>57</v>
      </c>
      <c r="B61" s="31">
        <f>'قاعدة الأسماء'!B61</f>
        <v/>
      </c>
      <c r="C61" s="91">
        <f>IF('الاختبار القبلي'!M62="","—",'الاختبار القبلي'!M62)</f>
        <v/>
      </c>
      <c r="D61" s="92">
        <f>IF('الاختبار البعدي'!M62="","—",'الاختبار البعدي'!M62)</f>
        <v/>
      </c>
      <c r="E61" s="93">
        <f>IF(OR(C61="—",D61="—",C61="",D61=""),"",D61-C61)</f>
        <v/>
      </c>
      <c r="F61" s="94">
        <f>IFERROR(IF(C61=0,IF(D61&gt;0,1,0),(D61-C61)/C61),"")</f>
        <v/>
      </c>
      <c r="G61" s="45">
        <f>IF(ISNUMBER(E61),IF(E61&gt;10,"تحسن ممتاز",IF(E61&gt;0,"تحسن إيجابي",IF(E61=0,"مستقر","تراجع"))),"—")</f>
        <v/>
      </c>
    </row>
    <row r="62" ht="18" customHeight="1">
      <c r="A62" s="46" t="n">
        <v>58</v>
      </c>
      <c r="B62" s="47">
        <f>'قاعدة الأسماء'!B62</f>
        <v/>
      </c>
      <c r="C62" s="95">
        <f>IF('الاختبار القبلي'!M63="","—",'الاختبار القبلي'!M63)</f>
        <v/>
      </c>
      <c r="D62" s="96">
        <f>IF('الاختبار البعدي'!M63="","—",'الاختبار البعدي'!M63)</f>
        <v/>
      </c>
      <c r="E62" s="97">
        <f>IF(OR(C62="—",D62="—",C62="",D62=""),"",D62-C62)</f>
        <v/>
      </c>
      <c r="F62" s="98">
        <f>IFERROR(IF(C62=0,IF(D62&gt;0,1,0),(D62-C62)/C62),"")</f>
        <v/>
      </c>
      <c r="G62" s="51">
        <f>IF(ISNUMBER(E62),IF(E62&gt;10,"تحسن ممتاز",IF(E62&gt;0,"تحسن إيجابي",IF(E62=0,"مستقر","تراجع"))),"—")</f>
        <v/>
      </c>
    </row>
    <row r="63" ht="18" customHeight="1">
      <c r="A63" s="30" t="n">
        <v>59</v>
      </c>
      <c r="B63" s="31">
        <f>'قاعدة الأسماء'!B63</f>
        <v/>
      </c>
      <c r="C63" s="91">
        <f>IF('الاختبار القبلي'!M64="","—",'الاختبار القبلي'!M64)</f>
        <v/>
      </c>
      <c r="D63" s="92">
        <f>IF('الاختبار البعدي'!M64="","—",'الاختبار البعدي'!M64)</f>
        <v/>
      </c>
      <c r="E63" s="93">
        <f>IF(OR(C63="—",D63="—",C63="",D63=""),"",D63-C63)</f>
        <v/>
      </c>
      <c r="F63" s="94">
        <f>IFERROR(IF(C63=0,IF(D63&gt;0,1,0),(D63-C63)/C63),"")</f>
        <v/>
      </c>
      <c r="G63" s="45">
        <f>IF(ISNUMBER(E63),IF(E63&gt;10,"تحسن ممتاز",IF(E63&gt;0,"تحسن إيجابي",IF(E63=0,"مستقر","تراجع"))),"—")</f>
        <v/>
      </c>
    </row>
    <row r="64" ht="18" customHeight="1">
      <c r="A64" s="46" t="n">
        <v>60</v>
      </c>
      <c r="B64" s="47">
        <f>'قاعدة الأسماء'!B64</f>
        <v/>
      </c>
      <c r="C64" s="95">
        <f>IF('الاختبار القبلي'!M65="","—",'الاختبار القبلي'!M65)</f>
        <v/>
      </c>
      <c r="D64" s="96">
        <f>IF('الاختبار البعدي'!M65="","—",'الاختبار البعدي'!M65)</f>
        <v/>
      </c>
      <c r="E64" s="97">
        <f>IF(OR(C64="—",D64="—",C64="",D64=""),"",D64-C64)</f>
        <v/>
      </c>
      <c r="F64" s="98">
        <f>IFERROR(IF(C64=0,IF(D64&gt;0,1,0),(D64-C64)/C64),"")</f>
        <v/>
      </c>
      <c r="G64" s="51">
        <f>IF(ISNUMBER(E64),IF(E64&gt;10,"تحسن ممتاز",IF(E64&gt;0,"تحسن إيجابي",IF(E64=0,"مستقر","تراجع"))),"—")</f>
        <v/>
      </c>
    </row>
    <row r="65" ht="18" customHeight="1">
      <c r="A65" s="30" t="n">
        <v>61</v>
      </c>
      <c r="B65" s="31">
        <f>'قاعدة الأسماء'!B65</f>
        <v/>
      </c>
      <c r="C65" s="91">
        <f>IF('الاختبار القبلي'!M66="","—",'الاختبار القبلي'!M66)</f>
        <v/>
      </c>
      <c r="D65" s="92">
        <f>IF('الاختبار البعدي'!M66="","—",'الاختبار البعدي'!M66)</f>
        <v/>
      </c>
      <c r="E65" s="93">
        <f>IF(OR(C65="—",D65="—",C65="",D65=""),"",D65-C65)</f>
        <v/>
      </c>
      <c r="F65" s="94">
        <f>IFERROR(IF(C65=0,IF(D65&gt;0,1,0),(D65-C65)/C65),"")</f>
        <v/>
      </c>
      <c r="G65" s="45">
        <f>IF(ISNUMBER(E65),IF(E65&gt;10,"تحسن ممتاز",IF(E65&gt;0,"تحسن إيجابي",IF(E65=0,"مستقر","تراجع"))),"—")</f>
        <v/>
      </c>
    </row>
    <row r="66" ht="18" customHeight="1">
      <c r="A66" s="46" t="n">
        <v>62</v>
      </c>
      <c r="B66" s="47">
        <f>'قاعدة الأسماء'!B66</f>
        <v/>
      </c>
      <c r="C66" s="95">
        <f>IF('الاختبار القبلي'!M67="","—",'الاختبار القبلي'!M67)</f>
        <v/>
      </c>
      <c r="D66" s="96">
        <f>IF('الاختبار البعدي'!M67="","—",'الاختبار البعدي'!M67)</f>
        <v/>
      </c>
      <c r="E66" s="97">
        <f>IF(OR(C66="—",D66="—",C66="",D66=""),"",D66-C66)</f>
        <v/>
      </c>
      <c r="F66" s="98">
        <f>IFERROR(IF(C66=0,IF(D66&gt;0,1,0),(D66-C66)/C66),"")</f>
        <v/>
      </c>
      <c r="G66" s="51">
        <f>IF(ISNUMBER(E66),IF(E66&gt;10,"تحسن ممتاز",IF(E66&gt;0,"تحسن إيجابي",IF(E66=0,"مستقر","تراجع"))),"—")</f>
        <v/>
      </c>
    </row>
    <row r="67" ht="18" customHeight="1">
      <c r="A67" s="30" t="n">
        <v>63</v>
      </c>
      <c r="B67" s="31">
        <f>'قاعدة الأسماء'!B67</f>
        <v/>
      </c>
      <c r="C67" s="91">
        <f>IF('الاختبار القبلي'!M68="","—",'الاختبار القبلي'!M68)</f>
        <v/>
      </c>
      <c r="D67" s="92">
        <f>IF('الاختبار البعدي'!M68="","—",'الاختبار البعدي'!M68)</f>
        <v/>
      </c>
      <c r="E67" s="93">
        <f>IF(OR(C67="—",D67="—",C67="",D67=""),"",D67-C67)</f>
        <v/>
      </c>
      <c r="F67" s="94">
        <f>IFERROR(IF(C67=0,IF(D67&gt;0,1,0),(D67-C67)/C67),"")</f>
        <v/>
      </c>
      <c r="G67" s="45">
        <f>IF(ISNUMBER(E67),IF(E67&gt;10,"تحسن ممتاز",IF(E67&gt;0,"تحسن إيجابي",IF(E67=0,"مستقر","تراجع"))),"—")</f>
        <v/>
      </c>
    </row>
    <row r="68" ht="18" customHeight="1">
      <c r="A68" s="46" t="n">
        <v>64</v>
      </c>
      <c r="B68" s="47">
        <f>'قاعدة الأسماء'!B68</f>
        <v/>
      </c>
      <c r="C68" s="95">
        <f>IF('الاختبار القبلي'!M69="","—",'الاختبار القبلي'!M69)</f>
        <v/>
      </c>
      <c r="D68" s="96">
        <f>IF('الاختبار البعدي'!M69="","—",'الاختبار البعدي'!M69)</f>
        <v/>
      </c>
      <c r="E68" s="97">
        <f>IF(OR(C68="—",D68="—",C68="",D68=""),"",D68-C68)</f>
        <v/>
      </c>
      <c r="F68" s="98">
        <f>IFERROR(IF(C68=0,IF(D68&gt;0,1,0),(D68-C68)/C68),"")</f>
        <v/>
      </c>
      <c r="G68" s="51">
        <f>IF(ISNUMBER(E68),IF(E68&gt;10,"تحسن ممتاز",IF(E68&gt;0,"تحسن إيجابي",IF(E68=0,"مستقر","تراجع"))),"—")</f>
        <v/>
      </c>
    </row>
    <row r="69" ht="18" customHeight="1">
      <c r="A69" s="30" t="n">
        <v>65</v>
      </c>
      <c r="B69" s="31">
        <f>'قاعدة الأسماء'!B69</f>
        <v/>
      </c>
      <c r="C69" s="91">
        <f>IF('الاختبار القبلي'!M70="","—",'الاختبار القبلي'!M70)</f>
        <v/>
      </c>
      <c r="D69" s="92">
        <f>IF('الاختبار البعدي'!M70="","—",'الاختبار البعدي'!M70)</f>
        <v/>
      </c>
      <c r="E69" s="93">
        <f>IF(OR(C69="—",D69="—",C69="",D69=""),"",D69-C69)</f>
        <v/>
      </c>
      <c r="F69" s="94">
        <f>IFERROR(IF(C69=0,IF(D69&gt;0,1,0),(D69-C69)/C69),"")</f>
        <v/>
      </c>
      <c r="G69" s="45">
        <f>IF(ISNUMBER(E69),IF(E69&gt;10,"تحسن ممتاز",IF(E69&gt;0,"تحسن إيجابي",IF(E69=0,"مستقر","تراجع"))),"—")</f>
        <v/>
      </c>
    </row>
    <row r="70" ht="18" customHeight="1">
      <c r="A70" s="46" t="n">
        <v>66</v>
      </c>
      <c r="B70" s="47">
        <f>'قاعدة الأسماء'!B70</f>
        <v/>
      </c>
      <c r="C70" s="95">
        <f>IF('الاختبار القبلي'!M71="","—",'الاختبار القبلي'!M71)</f>
        <v/>
      </c>
      <c r="D70" s="96">
        <f>IF('الاختبار البعدي'!M71="","—",'الاختبار البعدي'!M71)</f>
        <v/>
      </c>
      <c r="E70" s="97">
        <f>IF(OR(C70="—",D70="—",C70="",D70=""),"",D70-C70)</f>
        <v/>
      </c>
      <c r="F70" s="98">
        <f>IFERROR(IF(C70=0,IF(D70&gt;0,1,0),(D70-C70)/C70),"")</f>
        <v/>
      </c>
      <c r="G70" s="51">
        <f>IF(ISNUMBER(E70),IF(E70&gt;10,"تحسن ممتاز",IF(E70&gt;0,"تحسن إيجابي",IF(E70=0,"مستقر","تراجع"))),"—")</f>
        <v/>
      </c>
    </row>
    <row r="71" ht="18" customHeight="1">
      <c r="A71" s="30" t="n">
        <v>67</v>
      </c>
      <c r="B71" s="31">
        <f>'قاعدة الأسماء'!B71</f>
        <v/>
      </c>
      <c r="C71" s="91">
        <f>IF('الاختبار القبلي'!M72="","—",'الاختبار القبلي'!M72)</f>
        <v/>
      </c>
      <c r="D71" s="92">
        <f>IF('الاختبار البعدي'!M72="","—",'الاختبار البعدي'!M72)</f>
        <v/>
      </c>
      <c r="E71" s="93">
        <f>IF(OR(C71="—",D71="—",C71="",D71=""),"",D71-C71)</f>
        <v/>
      </c>
      <c r="F71" s="94">
        <f>IFERROR(IF(C71=0,IF(D71&gt;0,1,0),(D71-C71)/C71),"")</f>
        <v/>
      </c>
      <c r="G71" s="45">
        <f>IF(ISNUMBER(E71),IF(E71&gt;10,"تحسن ممتاز",IF(E71&gt;0,"تحسن إيجابي",IF(E71=0,"مستقر","تراجع"))),"—")</f>
        <v/>
      </c>
    </row>
    <row r="72" ht="18" customHeight="1">
      <c r="A72" s="46" t="n">
        <v>68</v>
      </c>
      <c r="B72" s="47">
        <f>'قاعدة الأسماء'!B72</f>
        <v/>
      </c>
      <c r="C72" s="95">
        <f>IF('الاختبار القبلي'!M73="","—",'الاختبار القبلي'!M73)</f>
        <v/>
      </c>
      <c r="D72" s="96">
        <f>IF('الاختبار البعدي'!M73="","—",'الاختبار البعدي'!M73)</f>
        <v/>
      </c>
      <c r="E72" s="97">
        <f>IF(OR(C72="—",D72="—",C72="",D72=""),"",D72-C72)</f>
        <v/>
      </c>
      <c r="F72" s="98">
        <f>IFERROR(IF(C72=0,IF(D72&gt;0,1,0),(D72-C72)/C72),"")</f>
        <v/>
      </c>
      <c r="G72" s="51">
        <f>IF(ISNUMBER(E72),IF(E72&gt;10,"تحسن ممتاز",IF(E72&gt;0,"تحسن إيجابي",IF(E72=0,"مستقر","تراجع"))),"—")</f>
        <v/>
      </c>
    </row>
    <row r="73" ht="18" customHeight="1">
      <c r="A73" s="30" t="n">
        <v>69</v>
      </c>
      <c r="B73" s="31">
        <f>'قاعدة الأسماء'!B73</f>
        <v/>
      </c>
      <c r="C73" s="91">
        <f>IF('الاختبار القبلي'!M74="","—",'الاختبار القبلي'!M74)</f>
        <v/>
      </c>
      <c r="D73" s="92">
        <f>IF('الاختبار البعدي'!M74="","—",'الاختبار البعدي'!M74)</f>
        <v/>
      </c>
      <c r="E73" s="93">
        <f>IF(OR(C73="—",D73="—",C73="",D73=""),"",D73-C73)</f>
        <v/>
      </c>
      <c r="F73" s="94">
        <f>IFERROR(IF(C73=0,IF(D73&gt;0,1,0),(D73-C73)/C73),"")</f>
        <v/>
      </c>
      <c r="G73" s="45">
        <f>IF(ISNUMBER(E73),IF(E73&gt;10,"تحسن ممتاز",IF(E73&gt;0,"تحسن إيجابي",IF(E73=0,"مستقر","تراجع"))),"—")</f>
        <v/>
      </c>
    </row>
    <row r="74" ht="18" customHeight="1">
      <c r="A74" s="46" t="n">
        <v>70</v>
      </c>
      <c r="B74" s="47">
        <f>'قاعدة الأسماء'!B74</f>
        <v/>
      </c>
      <c r="C74" s="95">
        <f>IF('الاختبار القبلي'!M75="","—",'الاختبار القبلي'!M75)</f>
        <v/>
      </c>
      <c r="D74" s="96">
        <f>IF('الاختبار البعدي'!M75="","—",'الاختبار البعدي'!M75)</f>
        <v/>
      </c>
      <c r="E74" s="97">
        <f>IF(OR(C74="—",D74="—",C74="",D74=""),"",D74-C74)</f>
        <v/>
      </c>
      <c r="F74" s="98">
        <f>IFERROR(IF(C74=0,IF(D74&gt;0,1,0),(D74-C74)/C74),"")</f>
        <v/>
      </c>
      <c r="G74" s="51">
        <f>IF(ISNUMBER(E74),IF(E74&gt;10,"تحسن ممتاز",IF(E74&gt;0,"تحسن إيجابي",IF(E74=0,"مستقر","تراجع"))),"—")</f>
        <v/>
      </c>
    </row>
    <row r="75" ht="18" customHeight="1">
      <c r="A75" s="30" t="n">
        <v>71</v>
      </c>
      <c r="B75" s="31">
        <f>'قاعدة الأسماء'!B75</f>
        <v/>
      </c>
      <c r="C75" s="91">
        <f>IF('الاختبار القبلي'!M76="","—",'الاختبار القبلي'!M76)</f>
        <v/>
      </c>
      <c r="D75" s="92">
        <f>IF('الاختبار البعدي'!M76="","—",'الاختبار البعدي'!M76)</f>
        <v/>
      </c>
      <c r="E75" s="93">
        <f>IF(OR(C75="—",D75="—",C75="",D75=""),"",D75-C75)</f>
        <v/>
      </c>
      <c r="F75" s="94">
        <f>IFERROR(IF(C75=0,IF(D75&gt;0,1,0),(D75-C75)/C75),"")</f>
        <v/>
      </c>
      <c r="G75" s="45">
        <f>IF(ISNUMBER(E75),IF(E75&gt;10,"تحسن ممتاز",IF(E75&gt;0,"تحسن إيجابي",IF(E75=0,"مستقر","تراجع"))),"—")</f>
        <v/>
      </c>
    </row>
    <row r="76" ht="18" customHeight="1">
      <c r="A76" s="46" t="n">
        <v>72</v>
      </c>
      <c r="B76" s="47">
        <f>'قاعدة الأسماء'!B76</f>
        <v/>
      </c>
      <c r="C76" s="95">
        <f>IF('الاختبار القبلي'!M77="","—",'الاختبار القبلي'!M77)</f>
        <v/>
      </c>
      <c r="D76" s="96">
        <f>IF('الاختبار البعدي'!M77="","—",'الاختبار البعدي'!M77)</f>
        <v/>
      </c>
      <c r="E76" s="97">
        <f>IF(OR(C76="—",D76="—",C76="",D76=""),"",D76-C76)</f>
        <v/>
      </c>
      <c r="F76" s="98">
        <f>IFERROR(IF(C76=0,IF(D76&gt;0,1,0),(D76-C76)/C76),"")</f>
        <v/>
      </c>
      <c r="G76" s="51">
        <f>IF(ISNUMBER(E76),IF(E76&gt;10,"تحسن ممتاز",IF(E76&gt;0,"تحسن إيجابي",IF(E76=0,"مستقر","تراجع"))),"—")</f>
        <v/>
      </c>
    </row>
    <row r="77" ht="18" customHeight="1">
      <c r="A77" s="30" t="n">
        <v>73</v>
      </c>
      <c r="B77" s="31">
        <f>'قاعدة الأسماء'!B77</f>
        <v/>
      </c>
      <c r="C77" s="91">
        <f>IF('الاختبار القبلي'!M78="","—",'الاختبار القبلي'!M78)</f>
        <v/>
      </c>
      <c r="D77" s="92">
        <f>IF('الاختبار البعدي'!M78="","—",'الاختبار البعدي'!M78)</f>
        <v/>
      </c>
      <c r="E77" s="93">
        <f>IF(OR(C77="—",D77="—",C77="",D77=""),"",D77-C77)</f>
        <v/>
      </c>
      <c r="F77" s="94">
        <f>IFERROR(IF(C77=0,IF(D77&gt;0,1,0),(D77-C77)/C77),"")</f>
        <v/>
      </c>
      <c r="G77" s="45">
        <f>IF(ISNUMBER(E77),IF(E77&gt;10,"تحسن ممتاز",IF(E77&gt;0,"تحسن إيجابي",IF(E77=0,"مستقر","تراجع"))),"—")</f>
        <v/>
      </c>
    </row>
    <row r="78" ht="18" customHeight="1">
      <c r="A78" s="46" t="n">
        <v>74</v>
      </c>
      <c r="B78" s="47">
        <f>'قاعدة الأسماء'!B78</f>
        <v/>
      </c>
      <c r="C78" s="95">
        <f>IF('الاختبار القبلي'!M79="","—",'الاختبار القبلي'!M79)</f>
        <v/>
      </c>
      <c r="D78" s="96">
        <f>IF('الاختبار البعدي'!M79="","—",'الاختبار البعدي'!M79)</f>
        <v/>
      </c>
      <c r="E78" s="97">
        <f>IF(OR(C78="—",D78="—",C78="",D78=""),"",D78-C78)</f>
        <v/>
      </c>
      <c r="F78" s="98">
        <f>IFERROR(IF(C78=0,IF(D78&gt;0,1,0),(D78-C78)/C78),"")</f>
        <v/>
      </c>
      <c r="G78" s="51">
        <f>IF(ISNUMBER(E78),IF(E78&gt;10,"تحسن ممتاز",IF(E78&gt;0,"تحسن إيجابي",IF(E78=0,"مستقر","تراجع"))),"—")</f>
        <v/>
      </c>
    </row>
    <row r="79" ht="18" customHeight="1">
      <c r="A79" s="30" t="n">
        <v>75</v>
      </c>
      <c r="B79" s="31">
        <f>'قاعدة الأسماء'!B79</f>
        <v/>
      </c>
      <c r="C79" s="91">
        <f>IF('الاختبار القبلي'!M80="","—",'الاختبار القبلي'!M80)</f>
        <v/>
      </c>
      <c r="D79" s="92">
        <f>IF('الاختبار البعدي'!M80="","—",'الاختبار البعدي'!M80)</f>
        <v/>
      </c>
      <c r="E79" s="93">
        <f>IF(OR(C79="—",D79="—",C79="",D79=""),"",D79-C79)</f>
        <v/>
      </c>
      <c r="F79" s="94">
        <f>IFERROR(IF(C79=0,IF(D79&gt;0,1,0),(D79-C79)/C79),"")</f>
        <v/>
      </c>
      <c r="G79" s="45">
        <f>IF(ISNUMBER(E79),IF(E79&gt;10,"تحسن ممتاز",IF(E79&gt;0,"تحسن إيجابي",IF(E79=0,"مستقر","تراجع"))),"—")</f>
        <v/>
      </c>
    </row>
    <row r="80" ht="18" customHeight="1">
      <c r="A80" s="46" t="n">
        <v>76</v>
      </c>
      <c r="B80" s="47">
        <f>'قاعدة الأسماء'!B80</f>
        <v/>
      </c>
      <c r="C80" s="95">
        <f>IF('الاختبار القبلي'!M81="","—",'الاختبار القبلي'!M81)</f>
        <v/>
      </c>
      <c r="D80" s="96">
        <f>IF('الاختبار البعدي'!M81="","—",'الاختبار البعدي'!M81)</f>
        <v/>
      </c>
      <c r="E80" s="97">
        <f>IF(OR(C80="—",D80="—",C80="",D80=""),"",D80-C80)</f>
        <v/>
      </c>
      <c r="F80" s="98">
        <f>IFERROR(IF(C80=0,IF(D80&gt;0,1,0),(D80-C80)/C80),"")</f>
        <v/>
      </c>
      <c r="G80" s="51">
        <f>IF(ISNUMBER(E80),IF(E80&gt;10,"تحسن ممتاز",IF(E80&gt;0,"تحسن إيجابي",IF(E80=0,"مستقر","تراجع"))),"—")</f>
        <v/>
      </c>
    </row>
    <row r="81" ht="18" customHeight="1">
      <c r="A81" s="30" t="n">
        <v>77</v>
      </c>
      <c r="B81" s="31">
        <f>'قاعدة الأسماء'!B81</f>
        <v/>
      </c>
      <c r="C81" s="91">
        <f>IF('الاختبار القبلي'!M82="","—",'الاختبار القبلي'!M82)</f>
        <v/>
      </c>
      <c r="D81" s="92">
        <f>IF('الاختبار البعدي'!M82="","—",'الاختبار البعدي'!M82)</f>
        <v/>
      </c>
      <c r="E81" s="93">
        <f>IF(OR(C81="—",D81="—",C81="",D81=""),"",D81-C81)</f>
        <v/>
      </c>
      <c r="F81" s="94">
        <f>IFERROR(IF(C81=0,IF(D81&gt;0,1,0),(D81-C81)/C81),"")</f>
        <v/>
      </c>
      <c r="G81" s="45">
        <f>IF(ISNUMBER(E81),IF(E81&gt;10,"تحسن ممتاز",IF(E81&gt;0,"تحسن إيجابي",IF(E81=0,"مستقر","تراجع"))),"—")</f>
        <v/>
      </c>
    </row>
    <row r="82" ht="18" customHeight="1">
      <c r="A82" s="46" t="n">
        <v>78</v>
      </c>
      <c r="B82" s="47">
        <f>'قاعدة الأسماء'!B82</f>
        <v/>
      </c>
      <c r="C82" s="95">
        <f>IF('الاختبار القبلي'!M83="","—",'الاختبار القبلي'!M83)</f>
        <v/>
      </c>
      <c r="D82" s="96">
        <f>IF('الاختبار البعدي'!M83="","—",'الاختبار البعدي'!M83)</f>
        <v/>
      </c>
      <c r="E82" s="97">
        <f>IF(OR(C82="—",D82="—",C82="",D82=""),"",D82-C82)</f>
        <v/>
      </c>
      <c r="F82" s="98">
        <f>IFERROR(IF(C82=0,IF(D82&gt;0,1,0),(D82-C82)/C82),"")</f>
        <v/>
      </c>
      <c r="G82" s="51">
        <f>IF(ISNUMBER(E82),IF(E82&gt;10,"تحسن ممتاز",IF(E82&gt;0,"تحسن إيجابي",IF(E82=0,"مستقر","تراجع"))),"—")</f>
        <v/>
      </c>
    </row>
    <row r="83" ht="18" customHeight="1">
      <c r="A83" s="30" t="n">
        <v>79</v>
      </c>
      <c r="B83" s="31">
        <f>'قاعدة الأسماء'!B83</f>
        <v/>
      </c>
      <c r="C83" s="91">
        <f>IF('الاختبار القبلي'!M84="","—",'الاختبار القبلي'!M84)</f>
        <v/>
      </c>
      <c r="D83" s="92">
        <f>IF('الاختبار البعدي'!M84="","—",'الاختبار البعدي'!M84)</f>
        <v/>
      </c>
      <c r="E83" s="93">
        <f>IF(OR(C83="—",D83="—",C83="",D83=""),"",D83-C83)</f>
        <v/>
      </c>
      <c r="F83" s="94">
        <f>IFERROR(IF(C83=0,IF(D83&gt;0,1,0),(D83-C83)/C83),"")</f>
        <v/>
      </c>
      <c r="G83" s="45">
        <f>IF(ISNUMBER(E83),IF(E83&gt;10,"تحسن ممتاز",IF(E83&gt;0,"تحسن إيجابي",IF(E83=0,"مستقر","تراجع"))),"—")</f>
        <v/>
      </c>
    </row>
    <row r="84" ht="18" customHeight="1">
      <c r="A84" s="46" t="n">
        <v>80</v>
      </c>
      <c r="B84" s="47">
        <f>'قاعدة الأسماء'!B84</f>
        <v/>
      </c>
      <c r="C84" s="95">
        <f>IF('الاختبار القبلي'!M85="","—",'الاختبار القبلي'!M85)</f>
        <v/>
      </c>
      <c r="D84" s="96">
        <f>IF('الاختبار البعدي'!M85="","—",'الاختبار البعدي'!M85)</f>
        <v/>
      </c>
      <c r="E84" s="97">
        <f>IF(OR(C84="—",D84="—",C84="",D84=""),"",D84-C84)</f>
        <v/>
      </c>
      <c r="F84" s="98">
        <f>IFERROR(IF(C84=0,IF(D84&gt;0,1,0),(D84-C84)/C84),"")</f>
        <v/>
      </c>
      <c r="G84" s="51">
        <f>IF(ISNUMBER(E84),IF(E84&gt;10,"تحسن ممتاز",IF(E84&gt;0,"تحسن إيجابي",IF(E84=0,"مستقر","تراجع"))),"—")</f>
        <v/>
      </c>
    </row>
    <row r="85" ht="18" customHeight="1">
      <c r="A85" s="30" t="n">
        <v>81</v>
      </c>
      <c r="B85" s="31">
        <f>'قاعدة الأسماء'!B85</f>
        <v/>
      </c>
      <c r="C85" s="91">
        <f>IF('الاختبار القبلي'!M86="","—",'الاختبار القبلي'!M86)</f>
        <v/>
      </c>
      <c r="D85" s="92">
        <f>IF('الاختبار البعدي'!M86="","—",'الاختبار البعدي'!M86)</f>
        <v/>
      </c>
      <c r="E85" s="93">
        <f>IF(OR(C85="—",D85="—",C85="",D85=""),"",D85-C85)</f>
        <v/>
      </c>
      <c r="F85" s="94">
        <f>IFERROR(IF(C85=0,IF(D85&gt;0,1,0),(D85-C85)/C85),"")</f>
        <v/>
      </c>
      <c r="G85" s="45">
        <f>IF(ISNUMBER(E85),IF(E85&gt;10,"تحسن ممتاز",IF(E85&gt;0,"تحسن إيجابي",IF(E85=0,"مستقر","تراجع"))),"—")</f>
        <v/>
      </c>
    </row>
    <row r="86" ht="18" customHeight="1">
      <c r="A86" s="46" t="n">
        <v>82</v>
      </c>
      <c r="B86" s="47">
        <f>'قاعدة الأسماء'!B86</f>
        <v/>
      </c>
      <c r="C86" s="95">
        <f>IF('الاختبار القبلي'!M87="","—",'الاختبار القبلي'!M87)</f>
        <v/>
      </c>
      <c r="D86" s="96">
        <f>IF('الاختبار البعدي'!M87="","—",'الاختبار البعدي'!M87)</f>
        <v/>
      </c>
      <c r="E86" s="97">
        <f>IF(OR(C86="—",D86="—",C86="",D86=""),"",D86-C86)</f>
        <v/>
      </c>
      <c r="F86" s="98">
        <f>IFERROR(IF(C86=0,IF(D86&gt;0,1,0),(D86-C86)/C86),"")</f>
        <v/>
      </c>
      <c r="G86" s="51">
        <f>IF(ISNUMBER(E86),IF(E86&gt;10,"تحسن ممتاز",IF(E86&gt;0,"تحسن إيجابي",IF(E86=0,"مستقر","تراجع"))),"—")</f>
        <v/>
      </c>
    </row>
    <row r="87" ht="18" customHeight="1">
      <c r="A87" s="30" t="n">
        <v>83</v>
      </c>
      <c r="B87" s="31">
        <f>'قاعدة الأسماء'!B87</f>
        <v/>
      </c>
      <c r="C87" s="91">
        <f>IF('الاختبار القبلي'!M88="","—",'الاختبار القبلي'!M88)</f>
        <v/>
      </c>
      <c r="D87" s="92">
        <f>IF('الاختبار البعدي'!M88="","—",'الاختبار البعدي'!M88)</f>
        <v/>
      </c>
      <c r="E87" s="93">
        <f>IF(OR(C87="—",D87="—",C87="",D87=""),"",D87-C87)</f>
        <v/>
      </c>
      <c r="F87" s="94">
        <f>IFERROR(IF(C87=0,IF(D87&gt;0,1,0),(D87-C87)/C87),"")</f>
        <v/>
      </c>
      <c r="G87" s="45">
        <f>IF(ISNUMBER(E87),IF(E87&gt;10,"تحسن ممتاز",IF(E87&gt;0,"تحسن إيجابي",IF(E87=0,"مستقر","تراجع"))),"—")</f>
        <v/>
      </c>
    </row>
    <row r="88" ht="18" customHeight="1">
      <c r="A88" s="46" t="n">
        <v>84</v>
      </c>
      <c r="B88" s="47">
        <f>'قاعدة الأسماء'!B88</f>
        <v/>
      </c>
      <c r="C88" s="95">
        <f>IF('الاختبار القبلي'!M89="","—",'الاختبار القبلي'!M89)</f>
        <v/>
      </c>
      <c r="D88" s="96">
        <f>IF('الاختبار البعدي'!M89="","—",'الاختبار البعدي'!M89)</f>
        <v/>
      </c>
      <c r="E88" s="97">
        <f>IF(OR(C88="—",D88="—",C88="",D88=""),"",D88-C88)</f>
        <v/>
      </c>
      <c r="F88" s="98">
        <f>IFERROR(IF(C88=0,IF(D88&gt;0,1,0),(D88-C88)/C88),"")</f>
        <v/>
      </c>
      <c r="G88" s="51">
        <f>IF(ISNUMBER(E88),IF(E88&gt;10,"تحسن ممتاز",IF(E88&gt;0,"تحسن إيجابي",IF(E88=0,"مستقر","تراجع"))),"—")</f>
        <v/>
      </c>
    </row>
    <row r="89" ht="18" customHeight="1">
      <c r="A89" s="30" t="n">
        <v>85</v>
      </c>
      <c r="B89" s="31">
        <f>'قاعدة الأسماء'!B89</f>
        <v/>
      </c>
      <c r="C89" s="91">
        <f>IF('الاختبار القبلي'!M90="","—",'الاختبار القبلي'!M90)</f>
        <v/>
      </c>
      <c r="D89" s="92">
        <f>IF('الاختبار البعدي'!M90="","—",'الاختبار البعدي'!M90)</f>
        <v/>
      </c>
      <c r="E89" s="93">
        <f>IF(OR(C89="—",D89="—",C89="",D89=""),"",D89-C89)</f>
        <v/>
      </c>
      <c r="F89" s="94">
        <f>IFERROR(IF(C89=0,IF(D89&gt;0,1,0),(D89-C89)/C89),"")</f>
        <v/>
      </c>
      <c r="G89" s="45">
        <f>IF(ISNUMBER(E89),IF(E89&gt;10,"تحسن ممتاز",IF(E89&gt;0,"تحسن إيجابي",IF(E89=0,"مستقر","تراجع"))),"—")</f>
        <v/>
      </c>
    </row>
    <row r="90" ht="18" customHeight="1">
      <c r="A90" s="46" t="n">
        <v>86</v>
      </c>
      <c r="B90" s="47">
        <f>'قاعدة الأسماء'!B90</f>
        <v/>
      </c>
      <c r="C90" s="95">
        <f>IF('الاختبار القبلي'!M91="","—",'الاختبار القبلي'!M91)</f>
        <v/>
      </c>
      <c r="D90" s="96">
        <f>IF('الاختبار البعدي'!M91="","—",'الاختبار البعدي'!M91)</f>
        <v/>
      </c>
      <c r="E90" s="97">
        <f>IF(OR(C90="—",D90="—",C90="",D90=""),"",D90-C90)</f>
        <v/>
      </c>
      <c r="F90" s="98">
        <f>IFERROR(IF(C90=0,IF(D90&gt;0,1,0),(D90-C90)/C90),"")</f>
        <v/>
      </c>
      <c r="G90" s="51">
        <f>IF(ISNUMBER(E90),IF(E90&gt;10,"تحسن ممتاز",IF(E90&gt;0,"تحسن إيجابي",IF(E90=0,"مستقر","تراجع"))),"—")</f>
        <v/>
      </c>
    </row>
    <row r="91" ht="18" customHeight="1">
      <c r="A91" s="30" t="n">
        <v>87</v>
      </c>
      <c r="B91" s="31">
        <f>'قاعدة الأسماء'!B91</f>
        <v/>
      </c>
      <c r="C91" s="91">
        <f>IF('الاختبار القبلي'!M92="","—",'الاختبار القبلي'!M92)</f>
        <v/>
      </c>
      <c r="D91" s="92">
        <f>IF('الاختبار البعدي'!M92="","—",'الاختبار البعدي'!M92)</f>
        <v/>
      </c>
      <c r="E91" s="93">
        <f>IF(OR(C91="—",D91="—",C91="",D91=""),"",D91-C91)</f>
        <v/>
      </c>
      <c r="F91" s="94">
        <f>IFERROR(IF(C91=0,IF(D91&gt;0,1,0),(D91-C91)/C91),"")</f>
        <v/>
      </c>
      <c r="G91" s="45">
        <f>IF(ISNUMBER(E91),IF(E91&gt;10,"تحسن ممتاز",IF(E91&gt;0,"تحسن إيجابي",IF(E91=0,"مستقر","تراجع"))),"—")</f>
        <v/>
      </c>
    </row>
    <row r="92" ht="18" customHeight="1">
      <c r="A92" s="46" t="n">
        <v>88</v>
      </c>
      <c r="B92" s="47">
        <f>'قاعدة الأسماء'!B92</f>
        <v/>
      </c>
      <c r="C92" s="95">
        <f>IF('الاختبار القبلي'!M93="","—",'الاختبار القبلي'!M93)</f>
        <v/>
      </c>
      <c r="D92" s="96">
        <f>IF('الاختبار البعدي'!M93="","—",'الاختبار البعدي'!M93)</f>
        <v/>
      </c>
      <c r="E92" s="97">
        <f>IF(OR(C92="—",D92="—",C92="",D92=""),"",D92-C92)</f>
        <v/>
      </c>
      <c r="F92" s="98">
        <f>IFERROR(IF(C92=0,IF(D92&gt;0,1,0),(D92-C92)/C92),"")</f>
        <v/>
      </c>
      <c r="G92" s="51">
        <f>IF(ISNUMBER(E92),IF(E92&gt;10,"تحسن ممتاز",IF(E92&gt;0,"تحسن إيجابي",IF(E92=0,"مستقر","تراجع"))),"—")</f>
        <v/>
      </c>
    </row>
    <row r="93" ht="18" customHeight="1">
      <c r="A93" s="30" t="n">
        <v>89</v>
      </c>
      <c r="B93" s="31">
        <f>'قاعدة الأسماء'!B93</f>
        <v/>
      </c>
      <c r="C93" s="91">
        <f>IF('الاختبار القبلي'!M94="","—",'الاختبار القبلي'!M94)</f>
        <v/>
      </c>
      <c r="D93" s="92">
        <f>IF('الاختبار البعدي'!M94="","—",'الاختبار البعدي'!M94)</f>
        <v/>
      </c>
      <c r="E93" s="93">
        <f>IF(OR(C93="—",D93="—",C93="",D93=""),"",D93-C93)</f>
        <v/>
      </c>
      <c r="F93" s="94">
        <f>IFERROR(IF(C93=0,IF(D93&gt;0,1,0),(D93-C93)/C93),"")</f>
        <v/>
      </c>
      <c r="G93" s="45">
        <f>IF(ISNUMBER(E93),IF(E93&gt;10,"تحسن ممتاز",IF(E93&gt;0,"تحسن إيجابي",IF(E93=0,"مستقر","تراجع"))),"—")</f>
        <v/>
      </c>
    </row>
    <row r="94" ht="18" customHeight="1">
      <c r="A94" s="46" t="n">
        <v>90</v>
      </c>
      <c r="B94" s="47">
        <f>'قاعدة الأسماء'!B94</f>
        <v/>
      </c>
      <c r="C94" s="95">
        <f>IF('الاختبار القبلي'!M95="","—",'الاختبار القبلي'!M95)</f>
        <v/>
      </c>
      <c r="D94" s="96">
        <f>IF('الاختبار البعدي'!M95="","—",'الاختبار البعدي'!M95)</f>
        <v/>
      </c>
      <c r="E94" s="97">
        <f>IF(OR(C94="—",D94="—",C94="",D94=""),"",D94-C94)</f>
        <v/>
      </c>
      <c r="F94" s="98">
        <f>IFERROR(IF(C94=0,IF(D94&gt;0,1,0),(D94-C94)/C94),"")</f>
        <v/>
      </c>
      <c r="G94" s="51">
        <f>IF(ISNUMBER(E94),IF(E94&gt;10,"تحسن ممتاز",IF(E94&gt;0,"تحسن إيجابي",IF(E94=0,"مستقر","تراجع"))),"—")</f>
        <v/>
      </c>
    </row>
    <row r="95" ht="18" customHeight="1">
      <c r="A95" s="30" t="n">
        <v>91</v>
      </c>
      <c r="B95" s="31">
        <f>'قاعدة الأسماء'!B95</f>
        <v/>
      </c>
      <c r="C95" s="91">
        <f>IF('الاختبار القبلي'!M96="","—",'الاختبار القبلي'!M96)</f>
        <v/>
      </c>
      <c r="D95" s="92">
        <f>IF('الاختبار البعدي'!M96="","—",'الاختبار البعدي'!M96)</f>
        <v/>
      </c>
      <c r="E95" s="93">
        <f>IF(OR(C95="—",D95="—",C95="",D95=""),"",D95-C95)</f>
        <v/>
      </c>
      <c r="F95" s="94">
        <f>IFERROR(IF(C95=0,IF(D95&gt;0,1,0),(D95-C95)/C95),"")</f>
        <v/>
      </c>
      <c r="G95" s="45">
        <f>IF(ISNUMBER(E95),IF(E95&gt;10,"تحسن ممتاز",IF(E95&gt;0,"تحسن إيجابي",IF(E95=0,"مستقر","تراجع"))),"—")</f>
        <v/>
      </c>
    </row>
    <row r="96" ht="18" customHeight="1">
      <c r="A96" s="46" t="n">
        <v>92</v>
      </c>
      <c r="B96" s="47">
        <f>'قاعدة الأسماء'!B96</f>
        <v/>
      </c>
      <c r="C96" s="95">
        <f>IF('الاختبار القبلي'!M97="","—",'الاختبار القبلي'!M97)</f>
        <v/>
      </c>
      <c r="D96" s="96">
        <f>IF('الاختبار البعدي'!M97="","—",'الاختبار البعدي'!M97)</f>
        <v/>
      </c>
      <c r="E96" s="97">
        <f>IF(OR(C96="—",D96="—",C96="",D96=""),"",D96-C96)</f>
        <v/>
      </c>
      <c r="F96" s="98">
        <f>IFERROR(IF(C96=0,IF(D96&gt;0,1,0),(D96-C96)/C96),"")</f>
        <v/>
      </c>
      <c r="G96" s="51">
        <f>IF(ISNUMBER(E96),IF(E96&gt;10,"تحسن ممتاز",IF(E96&gt;0,"تحسن إيجابي",IF(E96=0,"مستقر","تراجع"))),"—")</f>
        <v/>
      </c>
    </row>
    <row r="97" ht="18" customHeight="1">
      <c r="A97" s="30" t="n">
        <v>93</v>
      </c>
      <c r="B97" s="31">
        <f>'قاعدة الأسماء'!B97</f>
        <v/>
      </c>
      <c r="C97" s="91">
        <f>IF('الاختبار القبلي'!M98="","—",'الاختبار القبلي'!M98)</f>
        <v/>
      </c>
      <c r="D97" s="92">
        <f>IF('الاختبار البعدي'!M98="","—",'الاختبار البعدي'!M98)</f>
        <v/>
      </c>
      <c r="E97" s="93">
        <f>IF(OR(C97="—",D97="—",C97="",D97=""),"",D97-C97)</f>
        <v/>
      </c>
      <c r="F97" s="94">
        <f>IFERROR(IF(C97=0,IF(D97&gt;0,1,0),(D97-C97)/C97),"")</f>
        <v/>
      </c>
      <c r="G97" s="45">
        <f>IF(ISNUMBER(E97),IF(E97&gt;10,"تحسن ممتاز",IF(E97&gt;0,"تحسن إيجابي",IF(E97=0,"مستقر","تراجع"))),"—")</f>
        <v/>
      </c>
    </row>
    <row r="98" ht="18" customHeight="1">
      <c r="A98" s="46" t="n">
        <v>94</v>
      </c>
      <c r="B98" s="47">
        <f>'قاعدة الأسماء'!B98</f>
        <v/>
      </c>
      <c r="C98" s="95">
        <f>IF('الاختبار القبلي'!M99="","—",'الاختبار القبلي'!M99)</f>
        <v/>
      </c>
      <c r="D98" s="96">
        <f>IF('الاختبار البعدي'!M99="","—",'الاختبار البعدي'!M99)</f>
        <v/>
      </c>
      <c r="E98" s="97">
        <f>IF(OR(C98="—",D98="—",C98="",D98=""),"",D98-C98)</f>
        <v/>
      </c>
      <c r="F98" s="98">
        <f>IFERROR(IF(C98=0,IF(D98&gt;0,1,0),(D98-C98)/C98),"")</f>
        <v/>
      </c>
      <c r="G98" s="51">
        <f>IF(ISNUMBER(E98),IF(E98&gt;10,"تحسن ممتاز",IF(E98&gt;0,"تحسن إيجابي",IF(E98=0,"مستقر","تراجع"))),"—")</f>
        <v/>
      </c>
    </row>
    <row r="99" ht="18" customHeight="1">
      <c r="A99" s="30" t="n">
        <v>95</v>
      </c>
      <c r="B99" s="31">
        <f>'قاعدة الأسماء'!B99</f>
        <v/>
      </c>
      <c r="C99" s="91">
        <f>IF('الاختبار القبلي'!M100="","—",'الاختبار القبلي'!M100)</f>
        <v/>
      </c>
      <c r="D99" s="92">
        <f>IF('الاختبار البعدي'!M100="","—",'الاختبار البعدي'!M100)</f>
        <v/>
      </c>
      <c r="E99" s="93">
        <f>IF(OR(C99="—",D99="—",C99="",D99=""),"",D99-C99)</f>
        <v/>
      </c>
      <c r="F99" s="94">
        <f>IFERROR(IF(C99=0,IF(D99&gt;0,1,0),(D99-C99)/C99),"")</f>
        <v/>
      </c>
      <c r="G99" s="45">
        <f>IF(ISNUMBER(E99),IF(E99&gt;10,"تحسن ممتاز",IF(E99&gt;0,"تحسن إيجابي",IF(E99=0,"مستقر","تراجع"))),"—")</f>
        <v/>
      </c>
    </row>
    <row r="100" ht="18" customHeight="1">
      <c r="A100" s="46" t="n">
        <v>96</v>
      </c>
      <c r="B100" s="47">
        <f>'قاعدة الأسماء'!B100</f>
        <v/>
      </c>
      <c r="C100" s="95">
        <f>IF('الاختبار القبلي'!M101="","—",'الاختبار القبلي'!M101)</f>
        <v/>
      </c>
      <c r="D100" s="96">
        <f>IF('الاختبار البعدي'!M101="","—",'الاختبار البعدي'!M101)</f>
        <v/>
      </c>
      <c r="E100" s="97">
        <f>IF(OR(C100="—",D100="—",C100="",D100=""),"",D100-C100)</f>
        <v/>
      </c>
      <c r="F100" s="98">
        <f>IFERROR(IF(C100=0,IF(D100&gt;0,1,0),(D100-C100)/C100),"")</f>
        <v/>
      </c>
      <c r="G100" s="51">
        <f>IF(ISNUMBER(E100),IF(E100&gt;10,"تحسن ممتاز",IF(E100&gt;0,"تحسن إيجابي",IF(E100=0,"مستقر","تراجع"))),"—")</f>
        <v/>
      </c>
    </row>
    <row r="101" ht="18" customHeight="1">
      <c r="A101" s="30" t="n">
        <v>97</v>
      </c>
      <c r="B101" s="31">
        <f>'قاعدة الأسماء'!B101</f>
        <v/>
      </c>
      <c r="C101" s="91">
        <f>IF('الاختبار القبلي'!M102="","—",'الاختبار القبلي'!M102)</f>
        <v/>
      </c>
      <c r="D101" s="92">
        <f>IF('الاختبار البعدي'!M102="","—",'الاختبار البعدي'!M102)</f>
        <v/>
      </c>
      <c r="E101" s="93">
        <f>IF(OR(C101="—",D101="—",C101="",D101=""),"",D101-C101)</f>
        <v/>
      </c>
      <c r="F101" s="94">
        <f>IFERROR(IF(C101=0,IF(D101&gt;0,1,0),(D101-C101)/C101),"")</f>
        <v/>
      </c>
      <c r="G101" s="45">
        <f>IF(ISNUMBER(E101),IF(E101&gt;10,"تحسن ممتاز",IF(E101&gt;0,"تحسن إيجابي",IF(E101=0,"مستقر","تراجع"))),"—")</f>
        <v/>
      </c>
    </row>
    <row r="102" ht="18" customHeight="1">
      <c r="A102" s="46" t="n">
        <v>98</v>
      </c>
      <c r="B102" s="47">
        <f>'قاعدة الأسماء'!B102</f>
        <v/>
      </c>
      <c r="C102" s="95">
        <f>IF('الاختبار القبلي'!M103="","—",'الاختبار القبلي'!M103)</f>
        <v/>
      </c>
      <c r="D102" s="96">
        <f>IF('الاختبار البعدي'!M103="","—",'الاختبار البعدي'!M103)</f>
        <v/>
      </c>
      <c r="E102" s="97">
        <f>IF(OR(C102="—",D102="—",C102="",D102=""),"",D102-C102)</f>
        <v/>
      </c>
      <c r="F102" s="98">
        <f>IFERROR(IF(C102=0,IF(D102&gt;0,1,0),(D102-C102)/C102),"")</f>
        <v/>
      </c>
      <c r="G102" s="51">
        <f>IF(ISNUMBER(E102),IF(E102&gt;10,"تحسن ممتاز",IF(E102&gt;0,"تحسن إيجابي",IF(E102=0,"مستقر","تراجع"))),"—")</f>
        <v/>
      </c>
    </row>
    <row r="103" ht="18" customHeight="1">
      <c r="A103" s="30" t="n">
        <v>99</v>
      </c>
      <c r="B103" s="31">
        <f>'قاعدة الأسماء'!B103</f>
        <v/>
      </c>
      <c r="C103" s="91">
        <f>IF('الاختبار القبلي'!M104="","—",'الاختبار القبلي'!M104)</f>
        <v/>
      </c>
      <c r="D103" s="92">
        <f>IF('الاختبار البعدي'!M104="","—",'الاختبار البعدي'!M104)</f>
        <v/>
      </c>
      <c r="E103" s="93">
        <f>IF(OR(C103="—",D103="—",C103="",D103=""),"",D103-C103)</f>
        <v/>
      </c>
      <c r="F103" s="94">
        <f>IFERROR(IF(C103=0,IF(D103&gt;0,1,0),(D103-C103)/C103),"")</f>
        <v/>
      </c>
      <c r="G103" s="45">
        <f>IF(ISNUMBER(E103),IF(E103&gt;10,"تحسن ممتاز",IF(E103&gt;0,"تحسن إيجابي",IF(E103=0,"مستقر","تراجع"))),"—")</f>
        <v/>
      </c>
    </row>
    <row r="106" ht="30" customHeight="1">
      <c r="A106" s="86" t="inlineStr">
        <is>
          <t>ملخص المقارنة</t>
        </is>
      </c>
    </row>
    <row r="107" ht="22" customHeight="1">
      <c r="B107" s="53" t="inlineStr">
        <is>
          <t>متوسط درجة القبلي</t>
        </is>
      </c>
      <c r="F107" s="99">
        <f>IFERROR(AVERAGE(C5:C103),"")</f>
        <v/>
      </c>
      <c r="G107" s="100" t="n"/>
    </row>
    <row r="108" ht="22" customHeight="1">
      <c r="B108" s="58" t="inlineStr">
        <is>
          <t>متوسط درجة البعدي</t>
        </is>
      </c>
      <c r="F108" s="99">
        <f>IFERROR(AVERAGE(D5:D103),"")</f>
        <v/>
      </c>
      <c r="G108" s="100" t="n"/>
    </row>
    <row r="109" ht="22" customHeight="1">
      <c r="B109" s="101" t="inlineStr">
        <is>
          <t>متوسط الفرق</t>
        </is>
      </c>
      <c r="F109" s="99">
        <f>IFERROR(AVERAGE(E5:E103),"")</f>
        <v/>
      </c>
      <c r="G109" s="100" t="n"/>
    </row>
    <row r="110" ht="22" customHeight="1">
      <c r="B110" s="102" t="inlineStr">
        <is>
          <t>عدد المتحسنات</t>
        </is>
      </c>
      <c r="F110" s="103">
        <f>IFERROR(COUNTIF(E5:E103,"&gt;0"),"")</f>
        <v/>
      </c>
      <c r="G110" s="100" t="n"/>
    </row>
    <row r="111" ht="22" customHeight="1">
      <c r="B111" s="104" t="inlineStr">
        <is>
          <t>عدد المتراجعات</t>
        </is>
      </c>
      <c r="F111" s="103">
        <f>IFERROR(COUNTIF(E5:E103,"&lt;0"),"")</f>
        <v/>
      </c>
      <c r="G111" s="100" t="n"/>
    </row>
    <row r="112" ht="22" customHeight="1">
      <c r="B112" s="105" t="inlineStr">
        <is>
          <t>نسبة التحسن الكلية</t>
        </is>
      </c>
      <c r="F112" s="106">
        <f>IFERROR(COUNTIF(E5:E103,"&gt;0")/COUNTA(E5:E103),"")</f>
        <v/>
      </c>
      <c r="G112" s="100" t="n"/>
    </row>
  </sheetData>
  <mergeCells count="15">
    <mergeCell ref="B108:E108"/>
    <mergeCell ref="B110:E110"/>
    <mergeCell ref="F109:G109"/>
    <mergeCell ref="A106:G106"/>
    <mergeCell ref="A3:G3"/>
    <mergeCell ref="F112:G112"/>
    <mergeCell ref="F108:G108"/>
    <mergeCell ref="F107:G107"/>
    <mergeCell ref="A2:G2"/>
    <mergeCell ref="B109:E109"/>
    <mergeCell ref="B112:E112"/>
    <mergeCell ref="F111:G111"/>
    <mergeCell ref="B111:E111"/>
    <mergeCell ref="F110:G110"/>
    <mergeCell ref="B107:E107"/>
  </mergeCells>
  <conditionalFormatting sqref="E5:E103">
    <cfRule type="cellIs" priority="1" operator="greaterThan" dxfId="0">
      <formula>0</formula>
    </cfRule>
    <cfRule type="cellIs" priority="2" operator="lessThan" dxfId="2">
      <formula>0</formula>
    </cfRule>
    <cfRule type="cellIs" priority="3" operator="equal" dxfId="3">
      <formula>0</formula>
    </cfRule>
  </conditionalFormatting>
  <conditionalFormatting sqref="F5:F103">
    <cfRule type="colorScale" priority="4">
      <colorScale>
        <cfvo type="num" val="-0.5"/>
        <cfvo type="num" val="0"/>
        <cfvo type="num" val="0.5"/>
        <color rgb="00FF6B6B"/>
        <color rgb="00FFFFFF"/>
        <color rgb="004ECDC4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9A84C"/>
    <outlinePr summaryBelow="1" summaryRight="1"/>
    <pageSetUpPr/>
  </sheetPr>
  <dimension ref="A2:P132"/>
  <sheetViews>
    <sheetView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4" customWidth="1" min="15" max="15"/>
    <col width="22" customWidth="1" min="16" max="16"/>
  </cols>
  <sheetData>
    <row r="2" ht="55" customHeight="1">
      <c r="A2" s="71" t="inlineStr">
        <is>
          <t>الاختبار النهائي – التقرير الختامي المؤتمت</t>
        </is>
      </c>
    </row>
    <row r="3" ht="30" customHeight="1">
      <c r="A3" s="28" t="inlineStr">
        <is>
          <t>الاختبار الشامل لمهارات نافس العشر | تقرير ختامي تلقائي لكل طالبة</t>
        </is>
      </c>
    </row>
    <row r="4" ht="46" customHeight="1">
      <c r="A4" s="38" t="inlineStr">
        <is>
          <t>م</t>
        </is>
      </c>
      <c r="B4" s="38" t="inlineStr">
        <is>
          <t>اسم الطالبة</t>
        </is>
      </c>
      <c r="C4" s="39">
        <f>"م1 " &amp; CHAR(10) &amp; 'الواجهة الرئيسية'!B8</f>
        <v/>
      </c>
      <c r="D4" s="39">
        <f>"م2 " &amp; CHAR(10) &amp; 'الواجهة الرئيسية'!D8</f>
        <v/>
      </c>
      <c r="E4" s="39">
        <f>"م3 " &amp; CHAR(10) &amp; 'الواجهة الرئيسية'!F8</f>
        <v/>
      </c>
      <c r="F4" s="39">
        <f>"م4 " &amp; CHAR(10) &amp; 'الواجهة الرئيسية'!H8</f>
        <v/>
      </c>
      <c r="G4" s="39">
        <f>"م5 " &amp; CHAR(10) &amp; 'الواجهة الرئيسية'!J8</f>
        <v/>
      </c>
      <c r="H4" s="39">
        <f>"م6 " &amp; CHAR(10) &amp; 'الواجهة الرئيسية'!B20</f>
        <v/>
      </c>
      <c r="I4" s="39">
        <f>"م7 " &amp; CHAR(10) &amp; 'الواجهة الرئيسية'!D20</f>
        <v/>
      </c>
      <c r="J4" s="39">
        <f>"م8 " &amp; CHAR(10) &amp; 'الواجهة الرئيسية'!F20</f>
        <v/>
      </c>
      <c r="K4" s="39">
        <f>"م9 " &amp; CHAR(10) &amp; 'الواجهة الرئيسية'!H20</f>
        <v/>
      </c>
      <c r="L4" s="39">
        <f>"م10 " &amp; CHAR(10) &amp; 'الواجهة الرئيسية'!J20</f>
        <v/>
      </c>
      <c r="M4" s="38" t="inlineStr">
        <is>
          <t>المجموع</t>
        </is>
      </c>
      <c r="N4" s="38" t="inlineStr">
        <is>
          <t>النسبة%</t>
        </is>
      </c>
      <c r="O4" s="38" t="inlineStr">
        <is>
          <t>المستوى</t>
        </is>
      </c>
      <c r="P4" s="38" t="inlineStr">
        <is>
          <t>التقرير</t>
        </is>
      </c>
    </row>
    <row r="5" ht="20" customHeight="1">
      <c r="A5" s="30" t="n">
        <v>1</v>
      </c>
      <c r="B5" s="31">
        <f>'قاعدة الأسماء'!B5</f>
        <v/>
      </c>
      <c r="C5" s="32" t="n">
        <v>9</v>
      </c>
      <c r="D5" s="32" t="n">
        <v>10</v>
      </c>
      <c r="E5" s="32" t="n">
        <v>10</v>
      </c>
      <c r="F5" s="32" t="n">
        <v>9</v>
      </c>
      <c r="G5" s="32" t="n">
        <v>10</v>
      </c>
      <c r="H5" s="32" t="n">
        <v>9</v>
      </c>
      <c r="I5" s="32" t="n">
        <v>10</v>
      </c>
      <c r="J5" s="32" t="n">
        <v>9</v>
      </c>
      <c r="K5" s="32" t="n">
        <v>10</v>
      </c>
      <c r="L5" s="32" t="n">
        <v>10</v>
      </c>
      <c r="M5" s="43">
        <f>IF(COUNT(C5:L5)=0,"",SUM(C5:L5))</f>
        <v/>
      </c>
      <c r="N5" s="44">
        <f>M5/100</f>
        <v/>
      </c>
      <c r="O5" s="45">
        <f>IF(M5="","",IF(M5&lt;50,"ضعيف",IF(M5&lt;75,"متوسط","ممتاز")))</f>
        <v/>
      </c>
      <c r="P5" s="73">
        <f>IF(M5="","",B5&amp;" – درجة: "&amp;TEXT(M5,"0.0")&amp;"/100 – "&amp;O5)</f>
        <v/>
      </c>
    </row>
    <row r="6" ht="20" customHeight="1">
      <c r="A6" s="46" t="n">
        <v>2</v>
      </c>
      <c r="B6" s="47">
        <f>'قاعدة الأسماء'!B6</f>
        <v/>
      </c>
      <c r="C6" s="48" t="n">
        <v>10</v>
      </c>
      <c r="D6" s="48" t="n">
        <v>10</v>
      </c>
      <c r="E6" s="48" t="n">
        <v>9</v>
      </c>
      <c r="F6" s="48" t="n">
        <v>10</v>
      </c>
      <c r="G6" s="48" t="n">
        <v>10</v>
      </c>
      <c r="H6" s="48" t="n">
        <v>9</v>
      </c>
      <c r="I6" s="48" t="n">
        <v>10</v>
      </c>
      <c r="J6" s="48" t="n">
        <v>10</v>
      </c>
      <c r="K6" s="48" t="n">
        <v>10</v>
      </c>
      <c r="L6" s="48" t="n">
        <v>10</v>
      </c>
      <c r="M6" s="49">
        <f>IF(COUNT(C6:L6)=0,"",SUM(C6:L6))</f>
        <v/>
      </c>
      <c r="N6" s="50">
        <f>M6/100</f>
        <v/>
      </c>
      <c r="O6" s="51">
        <f>IF(M6="","",IF(M6&lt;50,"ضعيف",IF(M6&lt;75,"متوسط","ممتاز")))</f>
        <v/>
      </c>
      <c r="P6" s="75">
        <f>IF(M6="","",B6&amp;" – درجة: "&amp;TEXT(M6,"0.0")&amp;"/100 – "&amp;O6)</f>
        <v/>
      </c>
    </row>
    <row r="7" ht="20" customHeight="1">
      <c r="A7" s="30" t="n">
        <v>3</v>
      </c>
      <c r="B7" s="31">
        <f>'قاعدة الأسماء'!B7</f>
        <v/>
      </c>
      <c r="C7" s="32" t="n">
        <v>10</v>
      </c>
      <c r="D7" s="32" t="n">
        <v>10</v>
      </c>
      <c r="E7" s="32" t="n">
        <v>10</v>
      </c>
      <c r="F7" s="32" t="n">
        <v>9</v>
      </c>
      <c r="G7" s="32" t="n">
        <v>10</v>
      </c>
      <c r="H7" s="32" t="n">
        <v>9</v>
      </c>
      <c r="I7" s="32" t="n">
        <v>10</v>
      </c>
      <c r="J7" s="32" t="n">
        <v>9</v>
      </c>
      <c r="K7" s="32" t="n">
        <v>10</v>
      </c>
      <c r="L7" s="32" t="n">
        <v>10</v>
      </c>
      <c r="M7" s="43">
        <f>IF(COUNT(C7:L7)=0,"",SUM(C7:L7))</f>
        <v/>
      </c>
      <c r="N7" s="44">
        <f>M7/100</f>
        <v/>
      </c>
      <c r="O7" s="45">
        <f>IF(M7="","",IF(M7&lt;50,"ضعيف",IF(M7&lt;75,"متوسط","ممتاز")))</f>
        <v/>
      </c>
      <c r="P7" s="73">
        <f>IF(M7="","",B7&amp;" – درجة: "&amp;TEXT(M7,"0.0")&amp;"/100 – "&amp;O7)</f>
        <v/>
      </c>
    </row>
    <row r="8" ht="20" customHeight="1">
      <c r="A8" s="46" t="n">
        <v>4</v>
      </c>
      <c r="B8" s="47">
        <f>'قاعدة الأسماء'!B8</f>
        <v/>
      </c>
      <c r="C8" s="48" t="n">
        <v>10</v>
      </c>
      <c r="D8" s="48" t="n">
        <v>10</v>
      </c>
      <c r="E8" s="48" t="n">
        <v>9</v>
      </c>
      <c r="F8" s="48" t="n">
        <v>9</v>
      </c>
      <c r="G8" s="48" t="n">
        <v>10</v>
      </c>
      <c r="H8" s="48" t="n">
        <v>10</v>
      </c>
      <c r="I8" s="48" t="n">
        <v>10</v>
      </c>
      <c r="J8" s="48" t="n">
        <v>9</v>
      </c>
      <c r="K8" s="48" t="n">
        <v>10</v>
      </c>
      <c r="L8" s="48" t="n">
        <v>10</v>
      </c>
      <c r="M8" s="49">
        <f>IF(COUNT(C8:L8)=0,"",SUM(C8:L8))</f>
        <v/>
      </c>
      <c r="N8" s="50">
        <f>M8/100</f>
        <v/>
      </c>
      <c r="O8" s="51">
        <f>IF(M8="","",IF(M8&lt;50,"ضعيف",IF(M8&lt;75,"متوسط","ممتاز")))</f>
        <v/>
      </c>
      <c r="P8" s="75">
        <f>IF(M8="","",B8&amp;" – درجة: "&amp;TEXT(M8,"0.0")&amp;"/100 – "&amp;O8)</f>
        <v/>
      </c>
    </row>
    <row r="9" ht="20" customHeight="1">
      <c r="A9" s="30" t="n">
        <v>5</v>
      </c>
      <c r="B9" s="31">
        <f>'قاعدة الأسماء'!B9</f>
        <v/>
      </c>
      <c r="C9" s="32" t="n">
        <v>10</v>
      </c>
      <c r="D9" s="32" t="n">
        <v>10</v>
      </c>
      <c r="E9" s="32" t="n">
        <v>10</v>
      </c>
      <c r="F9" s="32" t="n">
        <v>10</v>
      </c>
      <c r="G9" s="32" t="n">
        <v>10</v>
      </c>
      <c r="H9" s="32" t="n">
        <v>10</v>
      </c>
      <c r="I9" s="32" t="n">
        <v>9</v>
      </c>
      <c r="J9" s="32" t="n">
        <v>10</v>
      </c>
      <c r="K9" s="32" t="n">
        <v>10</v>
      </c>
      <c r="L9" s="32" t="n">
        <v>9</v>
      </c>
      <c r="M9" s="43">
        <f>IF(COUNT(C9:L9)=0,"",SUM(C9:L9))</f>
        <v/>
      </c>
      <c r="N9" s="44">
        <f>M9/100</f>
        <v/>
      </c>
      <c r="O9" s="45">
        <f>IF(M9="","",IF(M9&lt;50,"ضعيف",IF(M9&lt;75,"متوسط","ممتاز")))</f>
        <v/>
      </c>
      <c r="P9" s="73">
        <f>IF(M9="","",B9&amp;" – درجة: "&amp;TEXT(M9,"0.0")&amp;"/100 – "&amp;O9)</f>
        <v/>
      </c>
    </row>
    <row r="10" ht="20" customHeight="1">
      <c r="A10" s="46" t="n">
        <v>6</v>
      </c>
      <c r="B10" s="47">
        <f>'قاعدة الأسماء'!B10</f>
        <v/>
      </c>
      <c r="C10" s="48" t="n">
        <v>10</v>
      </c>
      <c r="D10" s="48" t="n">
        <v>10</v>
      </c>
      <c r="E10" s="48" t="n">
        <v>10</v>
      </c>
      <c r="F10" s="48" t="n">
        <v>9</v>
      </c>
      <c r="G10" s="48" t="n">
        <v>9</v>
      </c>
      <c r="H10" s="48" t="n">
        <v>9</v>
      </c>
      <c r="I10" s="48" t="n">
        <v>10</v>
      </c>
      <c r="J10" s="48" t="n">
        <v>10</v>
      </c>
      <c r="K10" s="48" t="n">
        <v>9</v>
      </c>
      <c r="L10" s="48" t="n">
        <v>10</v>
      </c>
      <c r="M10" s="49">
        <f>IF(COUNT(C10:L10)=0,"",SUM(C10:L10))</f>
        <v/>
      </c>
      <c r="N10" s="50">
        <f>M10/100</f>
        <v/>
      </c>
      <c r="O10" s="51">
        <f>IF(M10="","",IF(M10&lt;50,"ضعيف",IF(M10&lt;75,"متوسط","ممتاز")))</f>
        <v/>
      </c>
      <c r="P10" s="75">
        <f>IF(M10="","",B10&amp;" – درجة: "&amp;TEXT(M10,"0.0")&amp;"/100 – "&amp;O10)</f>
        <v/>
      </c>
    </row>
    <row r="11" ht="20" customHeight="1">
      <c r="A11" s="30" t="n">
        <v>7</v>
      </c>
      <c r="B11" s="31">
        <f>'قاعدة الأسماء'!B11</f>
        <v/>
      </c>
      <c r="C11" s="32" t="n">
        <v>9</v>
      </c>
      <c r="D11" s="32" t="n">
        <v>9</v>
      </c>
      <c r="E11" s="32" t="n">
        <v>10</v>
      </c>
      <c r="F11" s="32" t="n">
        <v>8</v>
      </c>
      <c r="G11" s="32" t="n">
        <v>10</v>
      </c>
      <c r="H11" s="32" t="n">
        <v>8</v>
      </c>
      <c r="I11" s="32" t="n">
        <v>9</v>
      </c>
      <c r="J11" s="32" t="n">
        <v>10</v>
      </c>
      <c r="K11" s="32" t="n">
        <v>9</v>
      </c>
      <c r="L11" s="32" t="n">
        <v>10</v>
      </c>
      <c r="M11" s="43">
        <f>IF(COUNT(C11:L11)=0,"",SUM(C11:L11))</f>
        <v/>
      </c>
      <c r="N11" s="44">
        <f>M11/100</f>
        <v/>
      </c>
      <c r="O11" s="45">
        <f>IF(M11="","",IF(M11&lt;50,"ضعيف",IF(M11&lt;75,"متوسط","ممتاز")))</f>
        <v/>
      </c>
      <c r="P11" s="73">
        <f>IF(M11="","",B11&amp;" – درجة: "&amp;TEXT(M11,"0.0")&amp;"/100 – "&amp;O11)</f>
        <v/>
      </c>
    </row>
    <row r="12" ht="20" customHeight="1">
      <c r="A12" s="46" t="n">
        <v>8</v>
      </c>
      <c r="B12" s="47">
        <f>'قاعدة الأسماء'!B12</f>
        <v/>
      </c>
      <c r="C12" s="48" t="n">
        <v>10</v>
      </c>
      <c r="D12" s="48" t="n">
        <v>9</v>
      </c>
      <c r="E12" s="48" t="n">
        <v>9</v>
      </c>
      <c r="F12" s="48" t="n">
        <v>8</v>
      </c>
      <c r="G12" s="48" t="n">
        <v>10</v>
      </c>
      <c r="H12" s="48" t="n">
        <v>10</v>
      </c>
      <c r="I12" s="48" t="n">
        <v>10</v>
      </c>
      <c r="J12" s="48" t="n">
        <v>9</v>
      </c>
      <c r="K12" s="48" t="n">
        <v>10</v>
      </c>
      <c r="L12" s="48" t="n">
        <v>10</v>
      </c>
      <c r="M12" s="49">
        <f>IF(COUNT(C12:L12)=0,"",SUM(C12:L12))</f>
        <v/>
      </c>
      <c r="N12" s="50">
        <f>M12/100</f>
        <v/>
      </c>
      <c r="O12" s="51">
        <f>IF(M12="","",IF(M12&lt;50,"ضعيف",IF(M12&lt;75,"متوسط","ممتاز")))</f>
        <v/>
      </c>
      <c r="P12" s="75">
        <f>IF(M12="","",B12&amp;" – درجة: "&amp;TEXT(M12,"0.0")&amp;"/100 – "&amp;O12)</f>
        <v/>
      </c>
    </row>
    <row r="13" ht="20" customHeight="1">
      <c r="A13" s="30" t="n">
        <v>9</v>
      </c>
      <c r="B13" s="31">
        <f>'قاعدة الأسماء'!B13</f>
        <v/>
      </c>
      <c r="C13" s="32" t="n">
        <v>10</v>
      </c>
      <c r="D13" s="32" t="n">
        <v>9</v>
      </c>
      <c r="E13" s="32" t="n">
        <v>9</v>
      </c>
      <c r="F13" s="32" t="n">
        <v>10</v>
      </c>
      <c r="G13" s="32" t="n">
        <v>10</v>
      </c>
      <c r="H13" s="32" t="n">
        <v>10</v>
      </c>
      <c r="I13" s="32" t="n">
        <v>10</v>
      </c>
      <c r="J13" s="32" t="n">
        <v>9</v>
      </c>
      <c r="K13" s="32" t="n">
        <v>10</v>
      </c>
      <c r="L13" s="32" t="n">
        <v>10</v>
      </c>
      <c r="M13" s="43">
        <f>IF(COUNT(C13:L13)=0,"",SUM(C13:L13))</f>
        <v/>
      </c>
      <c r="N13" s="44">
        <f>M13/100</f>
        <v/>
      </c>
      <c r="O13" s="45">
        <f>IF(M13="","",IF(M13&lt;50,"ضعيف",IF(M13&lt;75,"متوسط","ممتاز")))</f>
        <v/>
      </c>
      <c r="P13" s="73">
        <f>IF(M13="","",B13&amp;" – درجة: "&amp;TEXT(M13,"0.0")&amp;"/100 – "&amp;O13)</f>
        <v/>
      </c>
    </row>
    <row r="14" ht="20" customHeight="1">
      <c r="A14" s="46" t="n">
        <v>10</v>
      </c>
      <c r="B14" s="47">
        <f>'قاعدة الأسماء'!B14</f>
        <v/>
      </c>
      <c r="C14" s="48" t="n">
        <v>10</v>
      </c>
      <c r="D14" s="48" t="n">
        <v>9</v>
      </c>
      <c r="E14" s="48" t="n">
        <v>8</v>
      </c>
      <c r="F14" s="48" t="n">
        <v>9</v>
      </c>
      <c r="G14" s="48" t="n">
        <v>9</v>
      </c>
      <c r="H14" s="48" t="n">
        <v>9</v>
      </c>
      <c r="I14" s="48" t="n">
        <v>10</v>
      </c>
      <c r="J14" s="48" t="n">
        <v>8</v>
      </c>
      <c r="K14" s="48" t="n">
        <v>10</v>
      </c>
      <c r="L14" s="48" t="n">
        <v>10</v>
      </c>
      <c r="M14" s="49">
        <f>IF(COUNT(C14:L14)=0,"",SUM(C14:L14))</f>
        <v/>
      </c>
      <c r="N14" s="50">
        <f>M14/100</f>
        <v/>
      </c>
      <c r="O14" s="51">
        <f>IF(M14="","",IF(M14&lt;50,"ضعيف",IF(M14&lt;75,"متوسط","ممتاز")))</f>
        <v/>
      </c>
      <c r="P14" s="75">
        <f>IF(M14="","",B14&amp;" – درجة: "&amp;TEXT(M14,"0.0")&amp;"/100 – "&amp;O14)</f>
        <v/>
      </c>
    </row>
    <row r="15" ht="20" customHeight="1">
      <c r="A15" s="30" t="n">
        <v>11</v>
      </c>
      <c r="B15" s="31">
        <f>'قاعدة الأسماء'!B15</f>
        <v/>
      </c>
      <c r="C15" s="32" t="n">
        <v>10</v>
      </c>
      <c r="D15" s="32" t="n">
        <v>10</v>
      </c>
      <c r="E15" s="32" t="n">
        <v>9</v>
      </c>
      <c r="F15" s="32" t="n">
        <v>10</v>
      </c>
      <c r="G15" s="32" t="n">
        <v>10</v>
      </c>
      <c r="H15" s="32" t="n">
        <v>10</v>
      </c>
      <c r="I15" s="32" t="n">
        <v>10</v>
      </c>
      <c r="J15" s="32" t="n">
        <v>9</v>
      </c>
      <c r="K15" s="32" t="n">
        <v>10</v>
      </c>
      <c r="L15" s="32" t="n">
        <v>10</v>
      </c>
      <c r="M15" s="43">
        <f>IF(COUNT(C15:L15)=0,"",SUM(C15:L15))</f>
        <v/>
      </c>
      <c r="N15" s="44">
        <f>M15/100</f>
        <v/>
      </c>
      <c r="O15" s="45">
        <f>IF(M15="","",IF(M15&lt;50,"ضعيف",IF(M15&lt;75,"متوسط","ممتاز")))</f>
        <v/>
      </c>
      <c r="P15" s="73">
        <f>IF(M15="","",B15&amp;" – درجة: "&amp;TEXT(M15,"0.0")&amp;"/100 – "&amp;O15)</f>
        <v/>
      </c>
    </row>
    <row r="16" ht="20" customHeight="1">
      <c r="A16" s="46" t="n">
        <v>12</v>
      </c>
      <c r="B16" s="47">
        <f>'قاعدة الأسماء'!B16</f>
        <v/>
      </c>
      <c r="C16" s="48" t="n">
        <v>10</v>
      </c>
      <c r="D16" s="48" t="n">
        <v>10</v>
      </c>
      <c r="E16" s="48" t="n">
        <v>10</v>
      </c>
      <c r="F16" s="48" t="n">
        <v>10</v>
      </c>
      <c r="G16" s="48" t="n">
        <v>10</v>
      </c>
      <c r="H16" s="48" t="n">
        <v>10</v>
      </c>
      <c r="I16" s="48" t="n">
        <v>10</v>
      </c>
      <c r="J16" s="48" t="n">
        <v>10</v>
      </c>
      <c r="K16" s="48" t="n">
        <v>10</v>
      </c>
      <c r="L16" s="48" t="n">
        <v>10</v>
      </c>
      <c r="M16" s="49">
        <f>IF(COUNT(C16:L16)=0,"",SUM(C16:L16))</f>
        <v/>
      </c>
      <c r="N16" s="50">
        <f>M16/100</f>
        <v/>
      </c>
      <c r="O16" s="51">
        <f>IF(M16="","",IF(M16&lt;50,"ضعيف",IF(M16&lt;75,"متوسط","ممتاز")))</f>
        <v/>
      </c>
      <c r="P16" s="75">
        <f>IF(M16="","",B16&amp;" – درجة: "&amp;TEXT(M16,"0.0")&amp;"/100 – "&amp;O16)</f>
        <v/>
      </c>
    </row>
    <row r="17" ht="20" customHeight="1">
      <c r="A17" s="30" t="n">
        <v>13</v>
      </c>
      <c r="B17" s="31">
        <f>'قاعدة الأسماء'!B17</f>
        <v/>
      </c>
      <c r="C17" s="32" t="n">
        <v>9</v>
      </c>
      <c r="D17" s="32" t="n">
        <v>10</v>
      </c>
      <c r="E17" s="32" t="n">
        <v>9</v>
      </c>
      <c r="F17" s="32" t="n">
        <v>10</v>
      </c>
      <c r="G17" s="32" t="n">
        <v>10</v>
      </c>
      <c r="H17" s="32" t="n">
        <v>10</v>
      </c>
      <c r="I17" s="32" t="n">
        <v>10</v>
      </c>
      <c r="J17" s="32" t="n">
        <v>9</v>
      </c>
      <c r="K17" s="32" t="n">
        <v>10</v>
      </c>
      <c r="L17" s="32" t="n">
        <v>9</v>
      </c>
      <c r="M17" s="43">
        <f>IF(COUNT(C17:L17)=0,"",SUM(C17:L17))</f>
        <v/>
      </c>
      <c r="N17" s="44">
        <f>M17/100</f>
        <v/>
      </c>
      <c r="O17" s="45">
        <f>IF(M17="","",IF(M17&lt;50,"ضعيف",IF(M17&lt;75,"متوسط","ممتاز")))</f>
        <v/>
      </c>
      <c r="P17" s="73">
        <f>IF(M17="","",B17&amp;" – درجة: "&amp;TEXT(M17,"0.0")&amp;"/100 – "&amp;O17)</f>
        <v/>
      </c>
    </row>
    <row r="18" ht="20" customHeight="1">
      <c r="A18" s="46" t="n">
        <v>14</v>
      </c>
      <c r="B18" s="47">
        <f>'قاعدة الأسماء'!B18</f>
        <v/>
      </c>
      <c r="C18" s="48" t="n">
        <v>10</v>
      </c>
      <c r="D18" s="48" t="n">
        <v>9</v>
      </c>
      <c r="E18" s="48" t="n">
        <v>8</v>
      </c>
      <c r="F18" s="48" t="n">
        <v>9</v>
      </c>
      <c r="G18" s="48" t="n">
        <v>10</v>
      </c>
      <c r="H18" s="48" t="n">
        <v>9</v>
      </c>
      <c r="I18" s="48" t="n">
        <v>9</v>
      </c>
      <c r="J18" s="48" t="n">
        <v>9</v>
      </c>
      <c r="K18" s="48" t="n">
        <v>10</v>
      </c>
      <c r="L18" s="48" t="n">
        <v>10</v>
      </c>
      <c r="M18" s="49">
        <f>IF(COUNT(C18:L18)=0,"",SUM(C18:L18))</f>
        <v/>
      </c>
      <c r="N18" s="50">
        <f>M18/100</f>
        <v/>
      </c>
      <c r="O18" s="51">
        <f>IF(M18="","",IF(M18&lt;50,"ضعيف",IF(M18&lt;75,"متوسط","ممتاز")))</f>
        <v/>
      </c>
      <c r="P18" s="75">
        <f>IF(M18="","",B18&amp;" – درجة: "&amp;TEXT(M18,"0.0")&amp;"/100 – "&amp;O18)</f>
        <v/>
      </c>
    </row>
    <row r="19" ht="20" customHeight="1">
      <c r="A19" s="30" t="n">
        <v>15</v>
      </c>
      <c r="B19" s="31">
        <f>'قاعدة الأسماء'!B19</f>
        <v/>
      </c>
      <c r="C19" s="32" t="n">
        <v>9</v>
      </c>
      <c r="D19" s="32" t="n">
        <v>9</v>
      </c>
      <c r="E19" s="32" t="n">
        <v>10</v>
      </c>
      <c r="F19" s="32" t="n">
        <v>9</v>
      </c>
      <c r="G19" s="32" t="n">
        <v>10</v>
      </c>
      <c r="H19" s="32" t="n">
        <v>9</v>
      </c>
      <c r="I19" s="32" t="n">
        <v>10</v>
      </c>
      <c r="J19" s="32" t="n">
        <v>10</v>
      </c>
      <c r="K19" s="32" t="n">
        <v>10</v>
      </c>
      <c r="L19" s="32" t="n">
        <v>10</v>
      </c>
      <c r="M19" s="43">
        <f>IF(COUNT(C19:L19)=0,"",SUM(C19:L19))</f>
        <v/>
      </c>
      <c r="N19" s="44">
        <f>M19/100</f>
        <v/>
      </c>
      <c r="O19" s="45">
        <f>IF(M19="","",IF(M19&lt;50,"ضعيف",IF(M19&lt;75,"متوسط","ممتاز")))</f>
        <v/>
      </c>
      <c r="P19" s="73">
        <f>IF(M19="","",B19&amp;" – درجة: "&amp;TEXT(M19,"0.0")&amp;"/100 – "&amp;O19)</f>
        <v/>
      </c>
    </row>
    <row r="20" ht="20" customHeight="1">
      <c r="A20" s="46" t="n">
        <v>16</v>
      </c>
      <c r="B20" s="47">
        <f>'قاعدة الأسماء'!B20</f>
        <v/>
      </c>
      <c r="C20" s="48" t="n">
        <v>10</v>
      </c>
      <c r="D20" s="48" t="n">
        <v>10</v>
      </c>
      <c r="E20" s="48" t="n">
        <v>10</v>
      </c>
      <c r="F20" s="48" t="n">
        <v>9</v>
      </c>
      <c r="G20" s="48" t="n">
        <v>10</v>
      </c>
      <c r="H20" s="48" t="n">
        <v>10</v>
      </c>
      <c r="I20" s="48" t="n">
        <v>9</v>
      </c>
      <c r="J20" s="48" t="n">
        <v>10</v>
      </c>
      <c r="K20" s="48" t="n">
        <v>10</v>
      </c>
      <c r="L20" s="48" t="n">
        <v>10</v>
      </c>
      <c r="M20" s="49">
        <f>IF(COUNT(C20:L20)=0,"",SUM(C20:L20))</f>
        <v/>
      </c>
      <c r="N20" s="50">
        <f>M20/100</f>
        <v/>
      </c>
      <c r="O20" s="51">
        <f>IF(M20="","",IF(M20&lt;50,"ضعيف",IF(M20&lt;75,"متوسط","ممتاز")))</f>
        <v/>
      </c>
      <c r="P20" s="75">
        <f>IF(M20="","",B20&amp;" – درجة: "&amp;TEXT(M20,"0.0")&amp;"/100 – "&amp;O20)</f>
        <v/>
      </c>
    </row>
    <row r="21" ht="20" customHeight="1">
      <c r="A21" s="30" t="n">
        <v>17</v>
      </c>
      <c r="B21" s="31">
        <f>'قاعدة الأسماء'!B21</f>
        <v/>
      </c>
      <c r="C21" s="32" t="n">
        <v>10</v>
      </c>
      <c r="D21" s="32" t="n">
        <v>10</v>
      </c>
      <c r="E21" s="32" t="n">
        <v>10</v>
      </c>
      <c r="F21" s="32" t="n">
        <v>9</v>
      </c>
      <c r="G21" s="32" t="n">
        <v>10</v>
      </c>
      <c r="H21" s="32" t="n">
        <v>9</v>
      </c>
      <c r="I21" s="32" t="n">
        <v>10</v>
      </c>
      <c r="J21" s="32" t="n">
        <v>9</v>
      </c>
      <c r="K21" s="32" t="n">
        <v>10</v>
      </c>
      <c r="L21" s="32" t="n">
        <v>10</v>
      </c>
      <c r="M21" s="43">
        <f>IF(COUNT(C21:L21)=0,"",SUM(C21:L21))</f>
        <v/>
      </c>
      <c r="N21" s="44">
        <f>M21/100</f>
        <v/>
      </c>
      <c r="O21" s="45">
        <f>IF(M21="","",IF(M21&lt;50,"ضعيف",IF(M21&lt;75,"متوسط","ممتاز")))</f>
        <v/>
      </c>
      <c r="P21" s="73">
        <f>IF(M21="","",B21&amp;" – درجة: "&amp;TEXT(M21,"0.0")&amp;"/100 – "&amp;O21)</f>
        <v/>
      </c>
    </row>
    <row r="22" ht="20" customHeight="1">
      <c r="A22" s="46" t="n">
        <v>18</v>
      </c>
      <c r="B22" s="47">
        <f>'قاعدة الأسماء'!B22</f>
        <v/>
      </c>
      <c r="C22" s="48" t="n">
        <v>10</v>
      </c>
      <c r="D22" s="48" t="n">
        <v>10</v>
      </c>
      <c r="E22" s="48" t="n">
        <v>10</v>
      </c>
      <c r="F22" s="48" t="n">
        <v>8</v>
      </c>
      <c r="G22" s="48" t="n">
        <v>10</v>
      </c>
      <c r="H22" s="48" t="n">
        <v>9</v>
      </c>
      <c r="I22" s="48" t="n">
        <v>10</v>
      </c>
      <c r="J22" s="48" t="n">
        <v>9</v>
      </c>
      <c r="K22" s="48" t="n">
        <v>9</v>
      </c>
      <c r="L22" s="48" t="n">
        <v>8</v>
      </c>
      <c r="M22" s="49">
        <f>IF(COUNT(C22:L22)=0,"",SUM(C22:L22))</f>
        <v/>
      </c>
      <c r="N22" s="50">
        <f>M22/100</f>
        <v/>
      </c>
      <c r="O22" s="51">
        <f>IF(M22="","",IF(M22&lt;50,"ضعيف",IF(M22&lt;75,"متوسط","ممتاز")))</f>
        <v/>
      </c>
      <c r="P22" s="75">
        <f>IF(M22="","",B22&amp;" – درجة: "&amp;TEXT(M22,"0.0")&amp;"/100 – "&amp;O22)</f>
        <v/>
      </c>
    </row>
    <row r="23" ht="20" customHeight="1">
      <c r="A23" s="30" t="n">
        <v>19</v>
      </c>
      <c r="B23" s="31">
        <f>'قاعدة الأسماء'!B23</f>
        <v/>
      </c>
      <c r="C23" s="32" t="n">
        <v>10</v>
      </c>
      <c r="D23" s="32" t="n">
        <v>10</v>
      </c>
      <c r="E23" s="32" t="n">
        <v>9</v>
      </c>
      <c r="F23" s="32" t="n">
        <v>10</v>
      </c>
      <c r="G23" s="32" t="n">
        <v>10</v>
      </c>
      <c r="H23" s="32" t="n">
        <v>10</v>
      </c>
      <c r="I23" s="32" t="n">
        <v>10</v>
      </c>
      <c r="J23" s="32" t="n">
        <v>10</v>
      </c>
      <c r="K23" s="32" t="n">
        <v>10</v>
      </c>
      <c r="L23" s="32" t="n">
        <v>10</v>
      </c>
      <c r="M23" s="43">
        <f>IF(COUNT(C23:L23)=0,"",SUM(C23:L23))</f>
        <v/>
      </c>
      <c r="N23" s="44">
        <f>M23/100</f>
        <v/>
      </c>
      <c r="O23" s="45">
        <f>IF(M23="","",IF(M23&lt;50,"ضعيف",IF(M23&lt;75,"متوسط","ممتاز")))</f>
        <v/>
      </c>
      <c r="P23" s="73">
        <f>IF(M23="","",B23&amp;" – درجة: "&amp;TEXT(M23,"0.0")&amp;"/100 – "&amp;O23)</f>
        <v/>
      </c>
    </row>
    <row r="24" ht="20" customHeight="1">
      <c r="A24" s="46" t="n">
        <v>20</v>
      </c>
      <c r="B24" s="47">
        <f>'قاعدة الأسماء'!B24</f>
        <v/>
      </c>
      <c r="C24" s="48" t="n">
        <v>10</v>
      </c>
      <c r="D24" s="48" t="n">
        <v>10</v>
      </c>
      <c r="E24" s="48" t="n">
        <v>9</v>
      </c>
      <c r="F24" s="48" t="n">
        <v>9</v>
      </c>
      <c r="G24" s="48" t="n">
        <v>10</v>
      </c>
      <c r="H24" s="48" t="n">
        <v>10</v>
      </c>
      <c r="I24" s="48" t="n">
        <v>10</v>
      </c>
      <c r="J24" s="48" t="n">
        <v>10</v>
      </c>
      <c r="K24" s="48" t="n">
        <v>10</v>
      </c>
      <c r="L24" s="48" t="n">
        <v>10</v>
      </c>
      <c r="M24" s="49">
        <f>IF(COUNT(C24:L24)=0,"",SUM(C24:L24))</f>
        <v/>
      </c>
      <c r="N24" s="50">
        <f>M24/100</f>
        <v/>
      </c>
      <c r="O24" s="51">
        <f>IF(M24="","",IF(M24&lt;50,"ضعيف",IF(M24&lt;75,"متوسط","ممتاز")))</f>
        <v/>
      </c>
      <c r="P24" s="75">
        <f>IF(M24="","",B24&amp;" – درجة: "&amp;TEXT(M24,"0.0")&amp;"/100 – "&amp;O24)</f>
        <v/>
      </c>
    </row>
    <row r="25" ht="20" customHeight="1">
      <c r="A25" s="30" t="n">
        <v>21</v>
      </c>
      <c r="B25" s="31">
        <f>'قاعدة الأسماء'!B25</f>
        <v/>
      </c>
      <c r="C25" s="32" t="n">
        <v>8</v>
      </c>
      <c r="D25" s="32" t="n">
        <v>9</v>
      </c>
      <c r="E25" s="32" t="n">
        <v>8</v>
      </c>
      <c r="F25" s="32" t="n">
        <v>9</v>
      </c>
      <c r="G25" s="32" t="n">
        <v>8</v>
      </c>
      <c r="H25" s="32" t="n">
        <v>10</v>
      </c>
      <c r="I25" s="32" t="n">
        <v>10</v>
      </c>
      <c r="J25" s="32" t="n">
        <v>9</v>
      </c>
      <c r="K25" s="32" t="n">
        <v>8</v>
      </c>
      <c r="L25" s="32" t="n">
        <v>10</v>
      </c>
      <c r="M25" s="43">
        <f>IF(COUNT(C25:L25)=0,"",SUM(C25:L25))</f>
        <v/>
      </c>
      <c r="N25" s="44">
        <f>M25/100</f>
        <v/>
      </c>
      <c r="O25" s="45">
        <f>IF(M25="","",IF(M25&lt;50,"ضعيف",IF(M25&lt;75,"متوسط","ممتاز")))</f>
        <v/>
      </c>
      <c r="P25" s="73">
        <f>IF(M25="","",B25&amp;" – درجة: "&amp;TEXT(M25,"0.0")&amp;"/100 – "&amp;O25)</f>
        <v/>
      </c>
    </row>
    <row r="26" ht="20" customHeight="1">
      <c r="A26" s="46" t="n">
        <v>22</v>
      </c>
      <c r="B26" s="47">
        <f>'قاعدة الأسماء'!B26</f>
        <v/>
      </c>
      <c r="C26" s="48" t="n">
        <v>8</v>
      </c>
      <c r="D26" s="48" t="n">
        <v>9</v>
      </c>
      <c r="E26" s="48" t="n">
        <v>9</v>
      </c>
      <c r="F26" s="48" t="n">
        <v>10</v>
      </c>
      <c r="G26" s="48" t="n">
        <v>9</v>
      </c>
      <c r="H26" s="48" t="n">
        <v>9</v>
      </c>
      <c r="I26" s="48" t="n">
        <v>8</v>
      </c>
      <c r="J26" s="48" t="n">
        <v>8</v>
      </c>
      <c r="K26" s="48" t="n">
        <v>8</v>
      </c>
      <c r="L26" s="48" t="n">
        <v>10</v>
      </c>
      <c r="M26" s="49">
        <f>IF(COUNT(C26:L26)=0,"",SUM(C26:L26))</f>
        <v/>
      </c>
      <c r="N26" s="50">
        <f>M26/100</f>
        <v/>
      </c>
      <c r="O26" s="51">
        <f>IF(M26="","",IF(M26&lt;50,"ضعيف",IF(M26&lt;75,"متوسط","ممتاز")))</f>
        <v/>
      </c>
      <c r="P26" s="75">
        <f>IF(M26="","",B26&amp;" – درجة: "&amp;TEXT(M26,"0.0")&amp;"/100 – "&amp;O26)</f>
        <v/>
      </c>
    </row>
    <row r="27" ht="20" customHeight="1">
      <c r="A27" s="30" t="n">
        <v>23</v>
      </c>
      <c r="B27" s="31">
        <f>'قاعدة الأسماء'!B27</f>
        <v/>
      </c>
      <c r="C27" s="32" t="n">
        <v>10</v>
      </c>
      <c r="D27" s="32" t="n">
        <v>9</v>
      </c>
      <c r="E27" s="32" t="n">
        <v>8</v>
      </c>
      <c r="F27" s="32" t="n">
        <v>9</v>
      </c>
      <c r="G27" s="32" t="n">
        <v>9</v>
      </c>
      <c r="H27" s="32" t="n">
        <v>10</v>
      </c>
      <c r="I27" s="32" t="n">
        <v>10</v>
      </c>
      <c r="J27" s="32" t="n">
        <v>8</v>
      </c>
      <c r="K27" s="32" t="n">
        <v>9</v>
      </c>
      <c r="L27" s="32" t="n">
        <v>9</v>
      </c>
      <c r="M27" s="43">
        <f>IF(COUNT(C27:L27)=0,"",SUM(C27:L27))</f>
        <v/>
      </c>
      <c r="N27" s="44">
        <f>M27/100</f>
        <v/>
      </c>
      <c r="O27" s="45">
        <f>IF(M27="","",IF(M27&lt;50,"ضعيف",IF(M27&lt;75,"متوسط","ممتاز")))</f>
        <v/>
      </c>
      <c r="P27" s="73">
        <f>IF(M27="","",B27&amp;" – درجة: "&amp;TEXT(M27,"0.0")&amp;"/100 – "&amp;O27)</f>
        <v/>
      </c>
    </row>
    <row r="28" ht="20" customHeight="1">
      <c r="A28" s="46" t="n">
        <v>24</v>
      </c>
      <c r="B28" s="47">
        <f>'قاعدة الأسماء'!B28</f>
        <v/>
      </c>
      <c r="C28" s="48" t="n">
        <v>9</v>
      </c>
      <c r="D28" s="48" t="n">
        <v>10</v>
      </c>
      <c r="E28" s="48" t="n">
        <v>8</v>
      </c>
      <c r="F28" s="48" t="n">
        <v>9</v>
      </c>
      <c r="G28" s="48" t="n">
        <v>10</v>
      </c>
      <c r="H28" s="48" t="n">
        <v>10</v>
      </c>
      <c r="I28" s="48" t="n">
        <v>10</v>
      </c>
      <c r="J28" s="48" t="n">
        <v>10</v>
      </c>
      <c r="K28" s="48" t="n">
        <v>10</v>
      </c>
      <c r="L28" s="48" t="n">
        <v>10</v>
      </c>
      <c r="M28" s="49">
        <f>IF(COUNT(C28:L28)=0,"",SUM(C28:L28))</f>
        <v/>
      </c>
      <c r="N28" s="50">
        <f>M28/100</f>
        <v/>
      </c>
      <c r="O28" s="51">
        <f>IF(M28="","",IF(M28&lt;50,"ضعيف",IF(M28&lt;75,"متوسط","ممتاز")))</f>
        <v/>
      </c>
      <c r="P28" s="75">
        <f>IF(M28="","",B28&amp;" – درجة: "&amp;TEXT(M28,"0.0")&amp;"/100 – "&amp;O28)</f>
        <v/>
      </c>
    </row>
    <row r="29" ht="20" customHeight="1">
      <c r="A29" s="30" t="n">
        <v>25</v>
      </c>
      <c r="B29" s="31">
        <f>'قاعدة الأسماء'!B29</f>
        <v/>
      </c>
      <c r="C29" s="32" t="n">
        <v>8</v>
      </c>
      <c r="D29" s="32" t="n">
        <v>9</v>
      </c>
      <c r="E29" s="32" t="n">
        <v>10</v>
      </c>
      <c r="F29" s="32" t="n">
        <v>9</v>
      </c>
      <c r="G29" s="32" t="n">
        <v>10</v>
      </c>
      <c r="H29" s="32" t="n">
        <v>10</v>
      </c>
      <c r="I29" s="32" t="n">
        <v>8</v>
      </c>
      <c r="J29" s="32" t="n">
        <v>9</v>
      </c>
      <c r="K29" s="32" t="n">
        <v>10</v>
      </c>
      <c r="L29" s="32" t="n">
        <v>9</v>
      </c>
      <c r="M29" s="43">
        <f>IF(COUNT(C29:L29)=0,"",SUM(C29:L29))</f>
        <v/>
      </c>
      <c r="N29" s="44">
        <f>M29/100</f>
        <v/>
      </c>
      <c r="O29" s="45">
        <f>IF(M29="","",IF(M29&lt;50,"ضعيف",IF(M29&lt;75,"متوسط","ممتاز")))</f>
        <v/>
      </c>
      <c r="P29" s="73">
        <f>IF(M29="","",B29&amp;" – درجة: "&amp;TEXT(M29,"0.0")&amp;"/100 – "&amp;O29)</f>
        <v/>
      </c>
    </row>
    <row r="30" ht="20" customHeight="1">
      <c r="A30" s="46" t="n">
        <v>26</v>
      </c>
      <c r="B30" s="47">
        <f>'قاعدة الأسماء'!B30</f>
        <v/>
      </c>
      <c r="C30" s="48" t="n">
        <v>9</v>
      </c>
      <c r="D30" s="48" t="n">
        <v>10</v>
      </c>
      <c r="E30" s="48" t="n">
        <v>8</v>
      </c>
      <c r="F30" s="48" t="n">
        <v>10</v>
      </c>
      <c r="G30" s="48" t="n">
        <v>9</v>
      </c>
      <c r="H30" s="48" t="n">
        <v>9</v>
      </c>
      <c r="I30" s="48" t="n">
        <v>9</v>
      </c>
      <c r="J30" s="48" t="n">
        <v>8</v>
      </c>
      <c r="K30" s="48" t="n">
        <v>10</v>
      </c>
      <c r="L30" s="48" t="n">
        <v>9</v>
      </c>
      <c r="M30" s="49">
        <f>IF(COUNT(C30:L30)=0,"",SUM(C30:L30))</f>
        <v/>
      </c>
      <c r="N30" s="50">
        <f>M30/100</f>
        <v/>
      </c>
      <c r="O30" s="51">
        <f>IF(M30="","",IF(M30&lt;50,"ضعيف",IF(M30&lt;75,"متوسط","ممتاز")))</f>
        <v/>
      </c>
      <c r="P30" s="75">
        <f>IF(M30="","",B30&amp;" – درجة: "&amp;TEXT(M30,"0.0")&amp;"/100 – "&amp;O30)</f>
        <v/>
      </c>
    </row>
    <row r="31" ht="20" customHeight="1">
      <c r="A31" s="30" t="n">
        <v>27</v>
      </c>
      <c r="B31" s="31">
        <f>'قاعدة الأسماء'!B31</f>
        <v/>
      </c>
      <c r="C31" s="32" t="n">
        <v>10</v>
      </c>
      <c r="D31" s="32" t="n">
        <v>9</v>
      </c>
      <c r="E31" s="32" t="n">
        <v>8</v>
      </c>
      <c r="F31" s="32" t="n">
        <v>10</v>
      </c>
      <c r="G31" s="32" t="n">
        <v>8</v>
      </c>
      <c r="H31" s="32" t="n">
        <v>9</v>
      </c>
      <c r="I31" s="32" t="n">
        <v>9</v>
      </c>
      <c r="J31" s="32" t="n">
        <v>8</v>
      </c>
      <c r="K31" s="32" t="n">
        <v>10</v>
      </c>
      <c r="L31" s="32" t="n">
        <v>8</v>
      </c>
      <c r="M31" s="43">
        <f>IF(COUNT(C31:L31)=0,"",SUM(C31:L31))</f>
        <v/>
      </c>
      <c r="N31" s="44">
        <f>M31/100</f>
        <v/>
      </c>
      <c r="O31" s="45">
        <f>IF(M31="","",IF(M31&lt;50,"ضعيف",IF(M31&lt;75,"متوسط","ممتاز")))</f>
        <v/>
      </c>
      <c r="P31" s="73">
        <f>IF(M31="","",B31&amp;" – درجة: "&amp;TEXT(M31,"0.0")&amp;"/100 – "&amp;O31)</f>
        <v/>
      </c>
    </row>
    <row r="32" ht="20" customHeight="1">
      <c r="A32" s="46" t="n">
        <v>28</v>
      </c>
      <c r="B32" s="47">
        <f>'قاعدة الأسماء'!B32</f>
        <v/>
      </c>
      <c r="C32" s="48" t="n">
        <v>9</v>
      </c>
      <c r="D32" s="48" t="n">
        <v>10</v>
      </c>
      <c r="E32" s="48" t="n">
        <v>10</v>
      </c>
      <c r="F32" s="48" t="n">
        <v>9</v>
      </c>
      <c r="G32" s="48" t="n">
        <v>9</v>
      </c>
      <c r="H32" s="48" t="n">
        <v>10</v>
      </c>
      <c r="I32" s="48" t="n">
        <v>10</v>
      </c>
      <c r="J32" s="48" t="n">
        <v>9</v>
      </c>
      <c r="K32" s="48" t="n">
        <v>8</v>
      </c>
      <c r="L32" s="48" t="n">
        <v>9</v>
      </c>
      <c r="M32" s="49">
        <f>IF(COUNT(C32:L32)=0,"",SUM(C32:L32))</f>
        <v/>
      </c>
      <c r="N32" s="50">
        <f>M32/100</f>
        <v/>
      </c>
      <c r="O32" s="51">
        <f>IF(M32="","",IF(M32&lt;50,"ضعيف",IF(M32&lt;75,"متوسط","ممتاز")))</f>
        <v/>
      </c>
      <c r="P32" s="75">
        <f>IF(M32="","",B32&amp;" – درجة: "&amp;TEXT(M32,"0.0")&amp;"/100 – "&amp;O32)</f>
        <v/>
      </c>
    </row>
    <row r="33" ht="20" customHeight="1">
      <c r="A33" s="30" t="n">
        <v>29</v>
      </c>
      <c r="B33" s="31">
        <f>'قاعدة الأسماء'!B33</f>
        <v/>
      </c>
      <c r="C33" s="32" t="n">
        <v>8</v>
      </c>
      <c r="D33" s="32" t="n">
        <v>9</v>
      </c>
      <c r="E33" s="32" t="n">
        <v>9</v>
      </c>
      <c r="F33" s="32" t="n">
        <v>8</v>
      </c>
      <c r="G33" s="32" t="n">
        <v>8</v>
      </c>
      <c r="H33" s="32" t="n">
        <v>7</v>
      </c>
      <c r="I33" s="32" t="n">
        <v>10</v>
      </c>
      <c r="J33" s="32" t="n">
        <v>10</v>
      </c>
      <c r="K33" s="32" t="n">
        <v>10</v>
      </c>
      <c r="L33" s="32" t="n">
        <v>9</v>
      </c>
      <c r="M33" s="43">
        <f>IF(COUNT(C33:L33)=0,"",SUM(C33:L33))</f>
        <v/>
      </c>
      <c r="N33" s="44">
        <f>M33/100</f>
        <v/>
      </c>
      <c r="O33" s="45">
        <f>IF(M33="","",IF(M33&lt;50,"ضعيف",IF(M33&lt;75,"متوسط","ممتاز")))</f>
        <v/>
      </c>
      <c r="P33" s="73">
        <f>IF(M33="","",B33&amp;" – درجة: "&amp;TEXT(M33,"0.0")&amp;"/100 – "&amp;O33)</f>
        <v/>
      </c>
    </row>
    <row r="34" ht="20" customHeight="1">
      <c r="A34" s="46" t="n">
        <v>30</v>
      </c>
      <c r="B34" s="47">
        <f>'قاعدة الأسماء'!B34</f>
        <v/>
      </c>
      <c r="C34" s="48" t="n">
        <v>9</v>
      </c>
      <c r="D34" s="48" t="n">
        <v>9</v>
      </c>
      <c r="E34" s="48" t="n">
        <v>8</v>
      </c>
      <c r="F34" s="48" t="n">
        <v>9</v>
      </c>
      <c r="G34" s="48" t="n">
        <v>10</v>
      </c>
      <c r="H34" s="48" t="n">
        <v>10</v>
      </c>
      <c r="I34" s="48" t="n">
        <v>9</v>
      </c>
      <c r="J34" s="48" t="n">
        <v>8</v>
      </c>
      <c r="K34" s="48" t="n">
        <v>9</v>
      </c>
      <c r="L34" s="48" t="n">
        <v>8</v>
      </c>
      <c r="M34" s="49">
        <f>IF(COUNT(C34:L34)=0,"",SUM(C34:L34))</f>
        <v/>
      </c>
      <c r="N34" s="50">
        <f>M34/100</f>
        <v/>
      </c>
      <c r="O34" s="51">
        <f>IF(M34="","",IF(M34&lt;50,"ضعيف",IF(M34&lt;75,"متوسط","ممتاز")))</f>
        <v/>
      </c>
      <c r="P34" s="75">
        <f>IF(M34="","",B34&amp;" – درجة: "&amp;TEXT(M34,"0.0")&amp;"/100 – "&amp;O34)</f>
        <v/>
      </c>
    </row>
    <row r="35" ht="20" customHeight="1">
      <c r="A35" s="30" t="n">
        <v>31</v>
      </c>
      <c r="B35" s="31">
        <f>'قاعدة الأسماء'!B35</f>
        <v/>
      </c>
      <c r="C35" s="32" t="n">
        <v>10</v>
      </c>
      <c r="D35" s="32" t="n">
        <v>9</v>
      </c>
      <c r="E35" s="32" t="n">
        <v>9</v>
      </c>
      <c r="F35" s="32" t="n">
        <v>8</v>
      </c>
      <c r="G35" s="32" t="n">
        <v>9</v>
      </c>
      <c r="H35" s="32" t="n">
        <v>8</v>
      </c>
      <c r="I35" s="32" t="n">
        <v>9</v>
      </c>
      <c r="J35" s="32" t="n">
        <v>10</v>
      </c>
      <c r="K35" s="32" t="n">
        <v>10</v>
      </c>
      <c r="L35" s="32" t="n">
        <v>9</v>
      </c>
      <c r="M35" s="43">
        <f>IF(COUNT(C35:L35)=0,"",SUM(C35:L35))</f>
        <v/>
      </c>
      <c r="N35" s="44">
        <f>M35/100</f>
        <v/>
      </c>
      <c r="O35" s="45">
        <f>IF(M35="","",IF(M35&lt;50,"ضعيف",IF(M35&lt;75,"متوسط","ممتاز")))</f>
        <v/>
      </c>
      <c r="P35" s="73">
        <f>IF(M35="","",B35&amp;" – درجة: "&amp;TEXT(M35,"0.0")&amp;"/100 – "&amp;O35)</f>
        <v/>
      </c>
    </row>
    <row r="36" ht="20" customHeight="1">
      <c r="A36" s="46" t="n">
        <v>32</v>
      </c>
      <c r="B36" s="47">
        <f>'قاعدة الأسماء'!B36</f>
        <v/>
      </c>
      <c r="C36" s="48" t="n">
        <v>8</v>
      </c>
      <c r="D36" s="48" t="n">
        <v>9</v>
      </c>
      <c r="E36" s="48" t="n">
        <v>7</v>
      </c>
      <c r="F36" s="48" t="n">
        <v>8</v>
      </c>
      <c r="G36" s="48" t="n">
        <v>7</v>
      </c>
      <c r="H36" s="48" t="n">
        <v>7</v>
      </c>
      <c r="I36" s="48" t="n">
        <v>10</v>
      </c>
      <c r="J36" s="48" t="n">
        <v>7</v>
      </c>
      <c r="K36" s="48" t="n">
        <v>9</v>
      </c>
      <c r="L36" s="48" t="n">
        <v>8</v>
      </c>
      <c r="M36" s="49">
        <f>IF(COUNT(C36:L36)=0,"",SUM(C36:L36))</f>
        <v/>
      </c>
      <c r="N36" s="50">
        <f>M36/100</f>
        <v/>
      </c>
      <c r="O36" s="51">
        <f>IF(M36="","",IF(M36&lt;50,"ضعيف",IF(M36&lt;75,"متوسط","ممتاز")))</f>
        <v/>
      </c>
      <c r="P36" s="75">
        <f>IF(M36="","",B36&amp;" – درجة: "&amp;TEXT(M36,"0.0")&amp;"/100 – "&amp;O36)</f>
        <v/>
      </c>
    </row>
    <row r="37" ht="20" customHeight="1">
      <c r="A37" s="30" t="n">
        <v>33</v>
      </c>
      <c r="B37" s="31">
        <f>'قاعدة الأسماء'!B37</f>
        <v/>
      </c>
      <c r="C37" s="32" t="n">
        <v>9</v>
      </c>
      <c r="D37" s="32" t="n">
        <v>9</v>
      </c>
      <c r="E37" s="32" t="n">
        <v>10</v>
      </c>
      <c r="F37" s="32" t="n">
        <v>8</v>
      </c>
      <c r="G37" s="32" t="n">
        <v>9</v>
      </c>
      <c r="H37" s="32" t="n">
        <v>10</v>
      </c>
      <c r="I37" s="32" t="n">
        <v>8</v>
      </c>
      <c r="J37" s="32" t="n">
        <v>9</v>
      </c>
      <c r="K37" s="32" t="n">
        <v>9</v>
      </c>
      <c r="L37" s="32" t="n">
        <v>10</v>
      </c>
      <c r="M37" s="43">
        <f>IF(COUNT(C37:L37)=0,"",SUM(C37:L37))</f>
        <v/>
      </c>
      <c r="N37" s="44">
        <f>M37/100</f>
        <v/>
      </c>
      <c r="O37" s="45">
        <f>IF(M37="","",IF(M37&lt;50,"ضعيف",IF(M37&lt;75,"متوسط","ممتاز")))</f>
        <v/>
      </c>
      <c r="P37" s="73">
        <f>IF(M37="","",B37&amp;" – درجة: "&amp;TEXT(M37,"0.0")&amp;"/100 – "&amp;O37)</f>
        <v/>
      </c>
    </row>
    <row r="38" ht="20" customHeight="1">
      <c r="A38" s="46" t="n">
        <v>34</v>
      </c>
      <c r="B38" s="47">
        <f>'قاعدة الأسماء'!B38</f>
        <v/>
      </c>
      <c r="C38" s="48" t="n">
        <v>9</v>
      </c>
      <c r="D38" s="48" t="n">
        <v>7</v>
      </c>
      <c r="E38" s="48" t="n">
        <v>9</v>
      </c>
      <c r="F38" s="48" t="n">
        <v>8</v>
      </c>
      <c r="G38" s="48" t="n">
        <v>9</v>
      </c>
      <c r="H38" s="48" t="n">
        <v>10</v>
      </c>
      <c r="I38" s="48" t="n">
        <v>10</v>
      </c>
      <c r="J38" s="48" t="n">
        <v>9</v>
      </c>
      <c r="K38" s="48" t="n">
        <v>10</v>
      </c>
      <c r="L38" s="48" t="n">
        <v>8</v>
      </c>
      <c r="M38" s="49">
        <f>IF(COUNT(C38:L38)=0,"",SUM(C38:L38))</f>
        <v/>
      </c>
      <c r="N38" s="50">
        <f>M38/100</f>
        <v/>
      </c>
      <c r="O38" s="51">
        <f>IF(M38="","",IF(M38&lt;50,"ضعيف",IF(M38&lt;75,"متوسط","ممتاز")))</f>
        <v/>
      </c>
      <c r="P38" s="75">
        <f>IF(M38="","",B38&amp;" – درجة: "&amp;TEXT(M38,"0.0")&amp;"/100 – "&amp;O38)</f>
        <v/>
      </c>
    </row>
    <row r="39" ht="20" customHeight="1">
      <c r="A39" s="30" t="n">
        <v>35</v>
      </c>
      <c r="B39" s="31">
        <f>'قاعدة الأسماء'!B39</f>
        <v/>
      </c>
      <c r="C39" s="32" t="n">
        <v>7</v>
      </c>
      <c r="D39" s="32" t="n">
        <v>7</v>
      </c>
      <c r="E39" s="32" t="n">
        <v>10</v>
      </c>
      <c r="F39" s="32" t="n">
        <v>10</v>
      </c>
      <c r="G39" s="32" t="n">
        <v>9</v>
      </c>
      <c r="H39" s="32" t="n">
        <v>9</v>
      </c>
      <c r="I39" s="32" t="n">
        <v>9</v>
      </c>
      <c r="J39" s="32" t="n">
        <v>8</v>
      </c>
      <c r="K39" s="32" t="n">
        <v>9</v>
      </c>
      <c r="L39" s="32" t="n">
        <v>9</v>
      </c>
      <c r="M39" s="43">
        <f>IF(COUNT(C39:L39)=0,"",SUM(C39:L39))</f>
        <v/>
      </c>
      <c r="N39" s="44">
        <f>M39/100</f>
        <v/>
      </c>
      <c r="O39" s="45">
        <f>IF(M39="","",IF(M39&lt;50,"ضعيف",IF(M39&lt;75,"متوسط","ممتاز")))</f>
        <v/>
      </c>
      <c r="P39" s="73">
        <f>IF(M39="","",B39&amp;" – درجة: "&amp;TEXT(M39,"0.0")&amp;"/100 – "&amp;O39)</f>
        <v/>
      </c>
    </row>
    <row r="40" ht="20" customHeight="1">
      <c r="A40" s="46" t="n">
        <v>36</v>
      </c>
      <c r="B40" s="47">
        <f>'قاعدة الأسماء'!B40</f>
        <v/>
      </c>
      <c r="C40" s="48" t="n">
        <v>10</v>
      </c>
      <c r="D40" s="48" t="n">
        <v>10</v>
      </c>
      <c r="E40" s="48" t="n">
        <v>8</v>
      </c>
      <c r="F40" s="48" t="n">
        <v>9</v>
      </c>
      <c r="G40" s="48" t="n">
        <v>10</v>
      </c>
      <c r="H40" s="48" t="n">
        <v>10</v>
      </c>
      <c r="I40" s="48" t="n">
        <v>8</v>
      </c>
      <c r="J40" s="48" t="n">
        <v>9</v>
      </c>
      <c r="K40" s="48" t="n">
        <v>9</v>
      </c>
      <c r="L40" s="48" t="n">
        <v>9</v>
      </c>
      <c r="M40" s="49">
        <f>IF(COUNT(C40:L40)=0,"",SUM(C40:L40))</f>
        <v/>
      </c>
      <c r="N40" s="50">
        <f>M40/100</f>
        <v/>
      </c>
      <c r="O40" s="51">
        <f>IF(M40="","",IF(M40&lt;50,"ضعيف",IF(M40&lt;75,"متوسط","ممتاز")))</f>
        <v/>
      </c>
      <c r="P40" s="75">
        <f>IF(M40="","",B40&amp;" – درجة: "&amp;TEXT(M40,"0.0")&amp;"/100 – "&amp;O40)</f>
        <v/>
      </c>
    </row>
    <row r="41" ht="20" customHeight="1">
      <c r="A41" s="30" t="n">
        <v>37</v>
      </c>
      <c r="B41" s="31">
        <f>'قاعدة الأسماء'!B41</f>
        <v/>
      </c>
      <c r="C41" s="32" t="n">
        <v>8</v>
      </c>
      <c r="D41" s="32" t="n">
        <v>10</v>
      </c>
      <c r="E41" s="32" t="n">
        <v>10</v>
      </c>
      <c r="F41" s="32" t="n">
        <v>10</v>
      </c>
      <c r="G41" s="32" t="n">
        <v>9</v>
      </c>
      <c r="H41" s="32" t="n">
        <v>9</v>
      </c>
      <c r="I41" s="32" t="n">
        <v>9</v>
      </c>
      <c r="J41" s="32" t="n">
        <v>9</v>
      </c>
      <c r="K41" s="32" t="n">
        <v>8</v>
      </c>
      <c r="L41" s="32" t="n">
        <v>9</v>
      </c>
      <c r="M41" s="43">
        <f>IF(COUNT(C41:L41)=0,"",SUM(C41:L41))</f>
        <v/>
      </c>
      <c r="N41" s="44">
        <f>M41/100</f>
        <v/>
      </c>
      <c r="O41" s="45">
        <f>IF(M41="","",IF(M41&lt;50,"ضعيف",IF(M41&lt;75,"متوسط","ممتاز")))</f>
        <v/>
      </c>
      <c r="P41" s="73">
        <f>IF(M41="","",B41&amp;" – درجة: "&amp;TEXT(M41,"0.0")&amp;"/100 – "&amp;O41)</f>
        <v/>
      </c>
    </row>
    <row r="42" ht="20" customHeight="1">
      <c r="A42" s="46" t="n">
        <v>38</v>
      </c>
      <c r="B42" s="47">
        <f>'قاعدة الأسماء'!B42</f>
        <v/>
      </c>
      <c r="C42" s="48" t="n">
        <v>8</v>
      </c>
      <c r="D42" s="48" t="n">
        <v>9</v>
      </c>
      <c r="E42" s="48" t="n">
        <v>10</v>
      </c>
      <c r="F42" s="48" t="n">
        <v>8</v>
      </c>
      <c r="G42" s="48" t="n">
        <v>10</v>
      </c>
      <c r="H42" s="48" t="n">
        <v>8</v>
      </c>
      <c r="I42" s="48" t="n">
        <v>10</v>
      </c>
      <c r="J42" s="48" t="n">
        <v>8</v>
      </c>
      <c r="K42" s="48" t="n">
        <v>10</v>
      </c>
      <c r="L42" s="48" t="n">
        <v>8</v>
      </c>
      <c r="M42" s="49">
        <f>IF(COUNT(C42:L42)=0,"",SUM(C42:L42))</f>
        <v/>
      </c>
      <c r="N42" s="50">
        <f>M42/100</f>
        <v/>
      </c>
      <c r="O42" s="51">
        <f>IF(M42="","",IF(M42&lt;50,"ضعيف",IF(M42&lt;75,"متوسط","ممتاز")))</f>
        <v/>
      </c>
      <c r="P42" s="75">
        <f>IF(M42="","",B42&amp;" – درجة: "&amp;TEXT(M42,"0.0")&amp;"/100 – "&amp;O42)</f>
        <v/>
      </c>
    </row>
    <row r="43" ht="20" customHeight="1">
      <c r="A43" s="30" t="n">
        <v>39</v>
      </c>
      <c r="B43" s="31">
        <f>'قاعدة الأسماء'!B43</f>
        <v/>
      </c>
      <c r="C43" s="32" t="n">
        <v>9</v>
      </c>
      <c r="D43" s="32" t="n">
        <v>8</v>
      </c>
      <c r="E43" s="32" t="n">
        <v>6</v>
      </c>
      <c r="F43" s="32" t="n">
        <v>8</v>
      </c>
      <c r="G43" s="32" t="n">
        <v>9</v>
      </c>
      <c r="H43" s="32" t="n">
        <v>9</v>
      </c>
      <c r="I43" s="32" t="n">
        <v>8</v>
      </c>
      <c r="J43" s="32" t="n">
        <v>9</v>
      </c>
      <c r="K43" s="32" t="n">
        <v>8</v>
      </c>
      <c r="L43" s="32" t="n">
        <v>8</v>
      </c>
      <c r="M43" s="43">
        <f>IF(COUNT(C43:L43)=0,"",SUM(C43:L43))</f>
        <v/>
      </c>
      <c r="N43" s="44">
        <f>M43/100</f>
        <v/>
      </c>
      <c r="O43" s="45">
        <f>IF(M43="","",IF(M43&lt;50,"ضعيف",IF(M43&lt;75,"متوسط","ممتاز")))</f>
        <v/>
      </c>
      <c r="P43" s="73">
        <f>IF(M43="","",B43&amp;" – درجة: "&amp;TEXT(M43,"0.0")&amp;"/100 – "&amp;O43)</f>
        <v/>
      </c>
    </row>
    <row r="44" ht="20" customHeight="1">
      <c r="A44" s="46" t="n">
        <v>40</v>
      </c>
      <c r="B44" s="47">
        <f>'قاعدة الأسماء'!B44</f>
        <v/>
      </c>
      <c r="C44" s="48" t="n">
        <v>9</v>
      </c>
      <c r="D44" s="48" t="n">
        <v>9</v>
      </c>
      <c r="E44" s="48" t="n">
        <v>9</v>
      </c>
      <c r="F44" s="48" t="n">
        <v>6</v>
      </c>
      <c r="G44" s="48" t="n">
        <v>7</v>
      </c>
      <c r="H44" s="48" t="n">
        <v>9</v>
      </c>
      <c r="I44" s="48" t="n">
        <v>8</v>
      </c>
      <c r="J44" s="48" t="n">
        <v>9</v>
      </c>
      <c r="K44" s="48" t="n">
        <v>10</v>
      </c>
      <c r="L44" s="48" t="n">
        <v>9</v>
      </c>
      <c r="M44" s="49">
        <f>IF(COUNT(C44:L44)=0,"",SUM(C44:L44))</f>
        <v/>
      </c>
      <c r="N44" s="50">
        <f>M44/100</f>
        <v/>
      </c>
      <c r="O44" s="51">
        <f>IF(M44="","",IF(M44&lt;50,"ضعيف",IF(M44&lt;75,"متوسط","ممتاز")))</f>
        <v/>
      </c>
      <c r="P44" s="75">
        <f>IF(M44="","",B44&amp;" – درجة: "&amp;TEXT(M44,"0.0")&amp;"/100 – "&amp;O44)</f>
        <v/>
      </c>
    </row>
    <row r="45" ht="20" customHeight="1">
      <c r="A45" s="30" t="n">
        <v>41</v>
      </c>
      <c r="B45" s="31">
        <f>'قاعدة الأسماء'!B45</f>
        <v/>
      </c>
      <c r="C45" s="32" t="n">
        <v>10</v>
      </c>
      <c r="D45" s="32" t="n">
        <v>9</v>
      </c>
      <c r="E45" s="32" t="n">
        <v>8</v>
      </c>
      <c r="F45" s="32" t="n">
        <v>10</v>
      </c>
      <c r="G45" s="32" t="n">
        <v>10</v>
      </c>
      <c r="H45" s="32" t="n">
        <v>9</v>
      </c>
      <c r="I45" s="32" t="n">
        <v>8</v>
      </c>
      <c r="J45" s="32" t="n">
        <v>8</v>
      </c>
      <c r="K45" s="32" t="n">
        <v>9</v>
      </c>
      <c r="L45" s="32" t="n">
        <v>9</v>
      </c>
      <c r="M45" s="43">
        <f>IF(COUNT(C45:L45)=0,"",SUM(C45:L45))</f>
        <v/>
      </c>
      <c r="N45" s="44">
        <f>M45/100</f>
        <v/>
      </c>
      <c r="O45" s="45">
        <f>IF(M45="","",IF(M45&lt;50,"ضعيف",IF(M45&lt;75,"متوسط","ممتاز")))</f>
        <v/>
      </c>
      <c r="P45" s="73">
        <f>IF(M45="","",B45&amp;" – درجة: "&amp;TEXT(M45,"0.0")&amp;"/100 – "&amp;O45)</f>
        <v/>
      </c>
    </row>
    <row r="46" ht="20" customHeight="1">
      <c r="A46" s="46" t="n">
        <v>42</v>
      </c>
      <c r="B46" s="47">
        <f>'قاعدة الأسماء'!B46</f>
        <v/>
      </c>
      <c r="C46" s="48" t="n">
        <v>9</v>
      </c>
      <c r="D46" s="48" t="n">
        <v>9</v>
      </c>
      <c r="E46" s="48" t="n">
        <v>7</v>
      </c>
      <c r="F46" s="48" t="n">
        <v>10</v>
      </c>
      <c r="G46" s="48" t="n">
        <v>9</v>
      </c>
      <c r="H46" s="48" t="n">
        <v>9</v>
      </c>
      <c r="I46" s="48" t="n">
        <v>9</v>
      </c>
      <c r="J46" s="48" t="n">
        <v>8</v>
      </c>
      <c r="K46" s="48" t="n">
        <v>10</v>
      </c>
      <c r="L46" s="48" t="n">
        <v>9</v>
      </c>
      <c r="M46" s="49">
        <f>IF(COUNT(C46:L46)=0,"",SUM(C46:L46))</f>
        <v/>
      </c>
      <c r="N46" s="50">
        <f>M46/100</f>
        <v/>
      </c>
      <c r="O46" s="51">
        <f>IF(M46="","",IF(M46&lt;50,"ضعيف",IF(M46&lt;75,"متوسط","ممتاز")))</f>
        <v/>
      </c>
      <c r="P46" s="75">
        <f>IF(M46="","",B46&amp;" – درجة: "&amp;TEXT(M46,"0.0")&amp;"/100 – "&amp;O46)</f>
        <v/>
      </c>
    </row>
    <row r="47" ht="20" customHeight="1">
      <c r="A47" s="30" t="n">
        <v>43</v>
      </c>
      <c r="B47" s="31">
        <f>'قاعدة الأسماء'!B47</f>
        <v/>
      </c>
      <c r="C47" s="32" t="n">
        <v>9</v>
      </c>
      <c r="D47" s="32" t="n">
        <v>9</v>
      </c>
      <c r="E47" s="32" t="n">
        <v>10</v>
      </c>
      <c r="F47" s="32" t="n">
        <v>8</v>
      </c>
      <c r="G47" s="32" t="n">
        <v>9</v>
      </c>
      <c r="H47" s="32" t="n">
        <v>9</v>
      </c>
      <c r="I47" s="32" t="n">
        <v>9</v>
      </c>
      <c r="J47" s="32" t="n">
        <v>10</v>
      </c>
      <c r="K47" s="32" t="n">
        <v>9</v>
      </c>
      <c r="L47" s="32" t="n">
        <v>9</v>
      </c>
      <c r="M47" s="43">
        <f>IF(COUNT(C47:L47)=0,"",SUM(C47:L47))</f>
        <v/>
      </c>
      <c r="N47" s="44">
        <f>M47/100</f>
        <v/>
      </c>
      <c r="O47" s="45">
        <f>IF(M47="","",IF(M47&lt;50,"ضعيف",IF(M47&lt;75,"متوسط","ممتاز")))</f>
        <v/>
      </c>
      <c r="P47" s="73">
        <f>IF(M47="","",B47&amp;" – درجة: "&amp;TEXT(M47,"0.0")&amp;"/100 – "&amp;O47)</f>
        <v/>
      </c>
    </row>
    <row r="48" ht="20" customHeight="1">
      <c r="A48" s="46" t="n">
        <v>44</v>
      </c>
      <c r="B48" s="47">
        <f>'قاعدة الأسماء'!B48</f>
        <v/>
      </c>
      <c r="C48" s="48" t="n">
        <v>9</v>
      </c>
      <c r="D48" s="48" t="n">
        <v>9</v>
      </c>
      <c r="E48" s="48" t="n">
        <v>8</v>
      </c>
      <c r="F48" s="48" t="n">
        <v>6</v>
      </c>
      <c r="G48" s="48" t="n">
        <v>9</v>
      </c>
      <c r="H48" s="48" t="n">
        <v>10</v>
      </c>
      <c r="I48" s="48" t="n">
        <v>9</v>
      </c>
      <c r="J48" s="48" t="n">
        <v>10</v>
      </c>
      <c r="K48" s="48" t="n">
        <v>9</v>
      </c>
      <c r="L48" s="48" t="n">
        <v>9</v>
      </c>
      <c r="M48" s="49">
        <f>IF(COUNT(C48:L48)=0,"",SUM(C48:L48))</f>
        <v/>
      </c>
      <c r="N48" s="50">
        <f>M48/100</f>
        <v/>
      </c>
      <c r="O48" s="51">
        <f>IF(M48="","",IF(M48&lt;50,"ضعيف",IF(M48&lt;75,"متوسط","ممتاز")))</f>
        <v/>
      </c>
      <c r="P48" s="75">
        <f>IF(M48="","",B48&amp;" – درجة: "&amp;TEXT(M48,"0.0")&amp;"/100 – "&amp;O48)</f>
        <v/>
      </c>
    </row>
    <row r="49" ht="20" customHeight="1">
      <c r="A49" s="30" t="n">
        <v>45</v>
      </c>
      <c r="B49" s="31">
        <f>'قاعدة الأسماء'!B49</f>
        <v/>
      </c>
      <c r="C49" s="32" t="n">
        <v>9</v>
      </c>
      <c r="D49" s="32" t="n">
        <v>8</v>
      </c>
      <c r="E49" s="32" t="n">
        <v>7</v>
      </c>
      <c r="F49" s="32" t="n">
        <v>7</v>
      </c>
      <c r="G49" s="32" t="n">
        <v>9</v>
      </c>
      <c r="H49" s="32" t="n">
        <v>9</v>
      </c>
      <c r="I49" s="32" t="n">
        <v>10</v>
      </c>
      <c r="J49" s="32" t="n">
        <v>9</v>
      </c>
      <c r="K49" s="32" t="n">
        <v>9</v>
      </c>
      <c r="L49" s="32" t="n">
        <v>7</v>
      </c>
      <c r="M49" s="43">
        <f>IF(COUNT(C49:L49)=0,"",SUM(C49:L49))</f>
        <v/>
      </c>
      <c r="N49" s="44">
        <f>M49/100</f>
        <v/>
      </c>
      <c r="O49" s="45">
        <f>IF(M49="","",IF(M49&lt;50,"ضعيف",IF(M49&lt;75,"متوسط","ممتاز")))</f>
        <v/>
      </c>
      <c r="P49" s="73">
        <f>IF(M49="","",B49&amp;" – درجة: "&amp;TEXT(M49,"0.0")&amp;"/100 – "&amp;O49)</f>
        <v/>
      </c>
    </row>
    <row r="50" ht="20" customHeight="1">
      <c r="A50" s="46" t="n">
        <v>46</v>
      </c>
      <c r="B50" s="47">
        <f>'قاعدة الأسماء'!B50</f>
        <v/>
      </c>
      <c r="C50" s="48" t="n">
        <v>8</v>
      </c>
      <c r="D50" s="48" t="n">
        <v>9</v>
      </c>
      <c r="E50" s="48" t="n">
        <v>7</v>
      </c>
      <c r="F50" s="48" t="n">
        <v>8</v>
      </c>
      <c r="G50" s="48" t="n">
        <v>7</v>
      </c>
      <c r="H50" s="48" t="n">
        <v>9</v>
      </c>
      <c r="I50" s="48" t="n">
        <v>9</v>
      </c>
      <c r="J50" s="48" t="n">
        <v>10</v>
      </c>
      <c r="K50" s="48" t="n">
        <v>8</v>
      </c>
      <c r="L50" s="48" t="n">
        <v>9</v>
      </c>
      <c r="M50" s="49">
        <f>IF(COUNT(C50:L50)=0,"",SUM(C50:L50))</f>
        <v/>
      </c>
      <c r="N50" s="50">
        <f>M50/100</f>
        <v/>
      </c>
      <c r="O50" s="51">
        <f>IF(M50="","",IF(M50&lt;50,"ضعيف",IF(M50&lt;75,"متوسط","ممتاز")))</f>
        <v/>
      </c>
      <c r="P50" s="75">
        <f>IF(M50="","",B50&amp;" – درجة: "&amp;TEXT(M50,"0.0")&amp;"/100 – "&amp;O50)</f>
        <v/>
      </c>
    </row>
    <row r="51" ht="20" customHeight="1">
      <c r="A51" s="30" t="n">
        <v>47</v>
      </c>
      <c r="B51" s="31">
        <f>'قاعدة الأسماء'!B51</f>
        <v/>
      </c>
      <c r="C51" s="32" t="n">
        <v>9</v>
      </c>
      <c r="D51" s="32" t="n">
        <v>10</v>
      </c>
      <c r="E51" s="32" t="n">
        <v>8</v>
      </c>
      <c r="F51" s="32" t="n">
        <v>9</v>
      </c>
      <c r="G51" s="32" t="n">
        <v>9</v>
      </c>
      <c r="H51" s="32" t="n">
        <v>8</v>
      </c>
      <c r="I51" s="32" t="n">
        <v>8</v>
      </c>
      <c r="J51" s="32" t="n">
        <v>9</v>
      </c>
      <c r="K51" s="32" t="n">
        <v>10</v>
      </c>
      <c r="L51" s="32" t="n">
        <v>9</v>
      </c>
      <c r="M51" s="43">
        <f>IF(COUNT(C51:L51)=0,"",SUM(C51:L51))</f>
        <v/>
      </c>
      <c r="N51" s="44">
        <f>M51/100</f>
        <v/>
      </c>
      <c r="O51" s="45">
        <f>IF(M51="","",IF(M51&lt;50,"ضعيف",IF(M51&lt;75,"متوسط","ممتاز")))</f>
        <v/>
      </c>
      <c r="P51" s="73">
        <f>IF(M51="","",B51&amp;" – درجة: "&amp;TEXT(M51,"0.0")&amp;"/100 – "&amp;O51)</f>
        <v/>
      </c>
    </row>
    <row r="52" ht="20" customHeight="1">
      <c r="A52" s="46" t="n">
        <v>48</v>
      </c>
      <c r="B52" s="47">
        <f>'قاعدة الأسماء'!B52</f>
        <v/>
      </c>
      <c r="C52" s="48" t="n">
        <v>9</v>
      </c>
      <c r="D52" s="48" t="n">
        <v>9</v>
      </c>
      <c r="E52" s="48" t="n">
        <v>9</v>
      </c>
      <c r="F52" s="48" t="n">
        <v>9</v>
      </c>
      <c r="G52" s="48" t="n">
        <v>9</v>
      </c>
      <c r="H52" s="48" t="n">
        <v>10</v>
      </c>
      <c r="I52" s="48" t="n">
        <v>8</v>
      </c>
      <c r="J52" s="48" t="n">
        <v>9</v>
      </c>
      <c r="K52" s="48" t="n">
        <v>9</v>
      </c>
      <c r="L52" s="48" t="n">
        <v>10</v>
      </c>
      <c r="M52" s="49">
        <f>IF(COUNT(C52:L52)=0,"",SUM(C52:L52))</f>
        <v/>
      </c>
      <c r="N52" s="50">
        <f>M52/100</f>
        <v/>
      </c>
      <c r="O52" s="51">
        <f>IF(M52="","",IF(M52&lt;50,"ضعيف",IF(M52&lt;75,"متوسط","ممتاز")))</f>
        <v/>
      </c>
      <c r="P52" s="75">
        <f>IF(M52="","",B52&amp;" – درجة: "&amp;TEXT(M52,"0.0")&amp;"/100 – "&amp;O52)</f>
        <v/>
      </c>
    </row>
    <row r="53" ht="20" customHeight="1">
      <c r="A53" s="30" t="n">
        <v>49</v>
      </c>
      <c r="B53" s="31">
        <f>'قاعدة الأسماء'!B53</f>
        <v/>
      </c>
      <c r="C53" s="32" t="n">
        <v>9</v>
      </c>
      <c r="D53" s="32" t="n">
        <v>8</v>
      </c>
      <c r="E53" s="32" t="n">
        <v>8</v>
      </c>
      <c r="F53" s="32" t="n">
        <v>8</v>
      </c>
      <c r="G53" s="32" t="n">
        <v>9</v>
      </c>
      <c r="H53" s="32" t="n">
        <v>8</v>
      </c>
      <c r="I53" s="32" t="n">
        <v>9</v>
      </c>
      <c r="J53" s="32" t="n">
        <v>9</v>
      </c>
      <c r="K53" s="32" t="n">
        <v>10</v>
      </c>
      <c r="L53" s="32" t="n">
        <v>10</v>
      </c>
      <c r="M53" s="43">
        <f>IF(COUNT(C53:L53)=0,"",SUM(C53:L53))</f>
        <v/>
      </c>
      <c r="N53" s="44">
        <f>M53/100</f>
        <v/>
      </c>
      <c r="O53" s="45">
        <f>IF(M53="","",IF(M53&lt;50,"ضعيف",IF(M53&lt;75,"متوسط","ممتاز")))</f>
        <v/>
      </c>
      <c r="P53" s="73">
        <f>IF(M53="","",B53&amp;" – درجة: "&amp;TEXT(M53,"0.0")&amp;"/100 – "&amp;O53)</f>
        <v/>
      </c>
    </row>
    <row r="54" ht="20" customHeight="1">
      <c r="A54" s="46" t="n">
        <v>50</v>
      </c>
      <c r="B54" s="47">
        <f>'قاعدة الأسماء'!B54</f>
        <v/>
      </c>
      <c r="C54" s="48" t="n">
        <v>10</v>
      </c>
      <c r="D54" s="48" t="n">
        <v>8</v>
      </c>
      <c r="E54" s="48" t="n">
        <v>9</v>
      </c>
      <c r="F54" s="48" t="n">
        <v>10</v>
      </c>
      <c r="G54" s="48" t="n">
        <v>9</v>
      </c>
      <c r="H54" s="48" t="n">
        <v>9</v>
      </c>
      <c r="I54" s="48" t="n">
        <v>9</v>
      </c>
      <c r="J54" s="48" t="n">
        <v>10</v>
      </c>
      <c r="K54" s="48" t="n">
        <v>9</v>
      </c>
      <c r="L54" s="48" t="n">
        <v>9</v>
      </c>
      <c r="M54" s="49">
        <f>IF(COUNT(C54:L54)=0,"",SUM(C54:L54))</f>
        <v/>
      </c>
      <c r="N54" s="50">
        <f>M54/100</f>
        <v/>
      </c>
      <c r="O54" s="51">
        <f>IF(M54="","",IF(M54&lt;50,"ضعيف",IF(M54&lt;75,"متوسط","ممتاز")))</f>
        <v/>
      </c>
      <c r="P54" s="75">
        <f>IF(M54="","",B54&amp;" – درجة: "&amp;TEXT(M54,"0.0")&amp;"/100 – "&amp;O54)</f>
        <v/>
      </c>
    </row>
    <row r="55" ht="20" customHeight="1">
      <c r="A55" s="30" t="n">
        <v>51</v>
      </c>
      <c r="B55" s="31">
        <f>'قاعدة الأسماء'!B55</f>
        <v/>
      </c>
      <c r="C55" s="32" t="n">
        <v>8</v>
      </c>
      <c r="D55" s="32" t="n">
        <v>9</v>
      </c>
      <c r="E55" s="32" t="n">
        <v>7</v>
      </c>
      <c r="F55" s="32" t="n">
        <v>7</v>
      </c>
      <c r="G55" s="32" t="n">
        <v>9</v>
      </c>
      <c r="H55" s="32" t="n">
        <v>7</v>
      </c>
      <c r="I55" s="32" t="n">
        <v>10</v>
      </c>
      <c r="J55" s="32" t="n">
        <v>8</v>
      </c>
      <c r="K55" s="32" t="n">
        <v>9</v>
      </c>
      <c r="L55" s="32" t="n">
        <v>8</v>
      </c>
      <c r="M55" s="43">
        <f>IF(COUNT(C55:L55)=0,"",SUM(C55:L55))</f>
        <v/>
      </c>
      <c r="N55" s="44">
        <f>M55/100</f>
        <v/>
      </c>
      <c r="O55" s="45">
        <f>IF(M55="","",IF(M55&lt;50,"ضعيف",IF(M55&lt;75,"متوسط","ممتاز")))</f>
        <v/>
      </c>
      <c r="P55" s="73">
        <f>IF(M55="","",B55&amp;" – درجة: "&amp;TEXT(M55,"0.0")&amp;"/100 – "&amp;O55)</f>
        <v/>
      </c>
    </row>
    <row r="56" ht="20" customHeight="1">
      <c r="A56" s="46" t="n">
        <v>52</v>
      </c>
      <c r="B56" s="47">
        <f>'قاعدة الأسماء'!B56</f>
        <v/>
      </c>
      <c r="C56" s="48" t="n">
        <v>9</v>
      </c>
      <c r="D56" s="48" t="n">
        <v>8</v>
      </c>
      <c r="E56" s="48" t="n">
        <v>8</v>
      </c>
      <c r="F56" s="48" t="n">
        <v>8</v>
      </c>
      <c r="G56" s="48" t="n">
        <v>10</v>
      </c>
      <c r="H56" s="48" t="n">
        <v>10</v>
      </c>
      <c r="I56" s="48" t="n">
        <v>9</v>
      </c>
      <c r="J56" s="48" t="n">
        <v>9</v>
      </c>
      <c r="K56" s="48" t="n">
        <v>8</v>
      </c>
      <c r="L56" s="48" t="n">
        <v>7</v>
      </c>
      <c r="M56" s="49">
        <f>IF(COUNT(C56:L56)=0,"",SUM(C56:L56))</f>
        <v/>
      </c>
      <c r="N56" s="50">
        <f>M56/100</f>
        <v/>
      </c>
      <c r="O56" s="51">
        <f>IF(M56="","",IF(M56&lt;50,"ضعيف",IF(M56&lt;75,"متوسط","ممتاز")))</f>
        <v/>
      </c>
      <c r="P56" s="75">
        <f>IF(M56="","",B56&amp;" – درجة: "&amp;TEXT(M56,"0.0")&amp;"/100 – "&amp;O56)</f>
        <v/>
      </c>
    </row>
    <row r="57" ht="20" customHeight="1">
      <c r="A57" s="30" t="n">
        <v>53</v>
      </c>
      <c r="B57" s="31">
        <f>'قاعدة الأسماء'!B57</f>
        <v/>
      </c>
      <c r="C57" s="32" t="n">
        <v>9</v>
      </c>
      <c r="D57" s="32" t="n">
        <v>10</v>
      </c>
      <c r="E57" s="32" t="n">
        <v>10</v>
      </c>
      <c r="F57" s="32" t="n">
        <v>9</v>
      </c>
      <c r="G57" s="32" t="n">
        <v>9</v>
      </c>
      <c r="H57" s="32" t="n">
        <v>9</v>
      </c>
      <c r="I57" s="32" t="n">
        <v>9</v>
      </c>
      <c r="J57" s="32" t="n">
        <v>9</v>
      </c>
      <c r="K57" s="32" t="n">
        <v>9</v>
      </c>
      <c r="L57" s="32" t="n">
        <v>9</v>
      </c>
      <c r="M57" s="43">
        <f>IF(COUNT(C57:L57)=0,"",SUM(C57:L57))</f>
        <v/>
      </c>
      <c r="N57" s="44">
        <f>M57/100</f>
        <v/>
      </c>
      <c r="O57" s="45">
        <f>IF(M57="","",IF(M57&lt;50,"ضعيف",IF(M57&lt;75,"متوسط","ممتاز")))</f>
        <v/>
      </c>
      <c r="P57" s="73">
        <f>IF(M57="","",B57&amp;" – درجة: "&amp;TEXT(M57,"0.0")&amp;"/100 – "&amp;O57)</f>
        <v/>
      </c>
    </row>
    <row r="58" ht="20" customHeight="1">
      <c r="A58" s="46" t="n">
        <v>54</v>
      </c>
      <c r="B58" s="47">
        <f>'قاعدة الأسماء'!B58</f>
        <v/>
      </c>
      <c r="C58" s="48" t="n">
        <v>9</v>
      </c>
      <c r="D58" s="48" t="n">
        <v>8</v>
      </c>
      <c r="E58" s="48" t="n">
        <v>9</v>
      </c>
      <c r="F58" s="48" t="n">
        <v>6</v>
      </c>
      <c r="G58" s="48" t="n">
        <v>9</v>
      </c>
      <c r="H58" s="48" t="n">
        <v>8</v>
      </c>
      <c r="I58" s="48" t="n">
        <v>9</v>
      </c>
      <c r="J58" s="48" t="n">
        <v>10</v>
      </c>
      <c r="K58" s="48" t="n">
        <v>9</v>
      </c>
      <c r="L58" s="48" t="n">
        <v>9</v>
      </c>
      <c r="M58" s="49">
        <f>IF(COUNT(C58:L58)=0,"",SUM(C58:L58))</f>
        <v/>
      </c>
      <c r="N58" s="50">
        <f>M58/100</f>
        <v/>
      </c>
      <c r="O58" s="51">
        <f>IF(M58="","",IF(M58&lt;50,"ضعيف",IF(M58&lt;75,"متوسط","ممتاز")))</f>
        <v/>
      </c>
      <c r="P58" s="75">
        <f>IF(M58="","",B58&amp;" – درجة: "&amp;TEXT(M58,"0.0")&amp;"/100 – "&amp;O58)</f>
        <v/>
      </c>
    </row>
    <row r="59" ht="20" customHeight="1">
      <c r="A59" s="30" t="n">
        <v>55</v>
      </c>
      <c r="B59" s="31">
        <f>'قاعدة الأسماء'!B59</f>
        <v/>
      </c>
      <c r="C59" s="32" t="n">
        <v>9</v>
      </c>
      <c r="D59" s="32" t="n">
        <v>9</v>
      </c>
      <c r="E59" s="32" t="n">
        <v>9</v>
      </c>
      <c r="F59" s="32" t="n">
        <v>7</v>
      </c>
      <c r="G59" s="32" t="n">
        <v>9</v>
      </c>
      <c r="H59" s="32" t="n">
        <v>6</v>
      </c>
      <c r="I59" s="32" t="n">
        <v>9</v>
      </c>
      <c r="J59" s="32" t="n">
        <v>8</v>
      </c>
      <c r="K59" s="32" t="n">
        <v>8</v>
      </c>
      <c r="L59" s="32" t="n">
        <v>9</v>
      </c>
      <c r="M59" s="43">
        <f>IF(COUNT(C59:L59)=0,"",SUM(C59:L59))</f>
        <v/>
      </c>
      <c r="N59" s="44">
        <f>M59/100</f>
        <v/>
      </c>
      <c r="O59" s="45">
        <f>IF(M59="","",IF(M59&lt;50,"ضعيف",IF(M59&lt;75,"متوسط","ممتاز")))</f>
        <v/>
      </c>
      <c r="P59" s="73">
        <f>IF(M59="","",B59&amp;" – درجة: "&amp;TEXT(M59,"0.0")&amp;"/100 – "&amp;O59)</f>
        <v/>
      </c>
    </row>
    <row r="60" ht="20" customHeight="1">
      <c r="A60" s="46" t="n">
        <v>56</v>
      </c>
      <c r="B60" s="47">
        <f>'قاعدة الأسماء'!B60</f>
        <v/>
      </c>
      <c r="C60" s="48" t="n">
        <v>9</v>
      </c>
      <c r="D60" s="48" t="n">
        <v>9</v>
      </c>
      <c r="E60" s="48" t="n">
        <v>8</v>
      </c>
      <c r="F60" s="48" t="n">
        <v>7</v>
      </c>
      <c r="G60" s="48" t="n">
        <v>10</v>
      </c>
      <c r="H60" s="48" t="n">
        <v>9</v>
      </c>
      <c r="I60" s="48" t="n">
        <v>9</v>
      </c>
      <c r="J60" s="48" t="n">
        <v>9</v>
      </c>
      <c r="K60" s="48" t="n">
        <v>9</v>
      </c>
      <c r="L60" s="48" t="n">
        <v>8</v>
      </c>
      <c r="M60" s="49">
        <f>IF(COUNT(C60:L60)=0,"",SUM(C60:L60))</f>
        <v/>
      </c>
      <c r="N60" s="50">
        <f>M60/100</f>
        <v/>
      </c>
      <c r="O60" s="51">
        <f>IF(M60="","",IF(M60&lt;50,"ضعيف",IF(M60&lt;75,"متوسط","ممتاز")))</f>
        <v/>
      </c>
      <c r="P60" s="75">
        <f>IF(M60="","",B60&amp;" – درجة: "&amp;TEXT(M60,"0.0")&amp;"/100 – "&amp;O60)</f>
        <v/>
      </c>
    </row>
    <row r="61" ht="20" customHeight="1">
      <c r="A61" s="30" t="n">
        <v>57</v>
      </c>
      <c r="B61" s="31">
        <f>'قاعدة الأسماء'!B61</f>
        <v/>
      </c>
      <c r="C61" s="32" t="n">
        <v>9</v>
      </c>
      <c r="D61" s="32" t="n">
        <v>9</v>
      </c>
      <c r="E61" s="32" t="n">
        <v>7</v>
      </c>
      <c r="F61" s="32" t="n">
        <v>9</v>
      </c>
      <c r="G61" s="32" t="n">
        <v>10</v>
      </c>
      <c r="H61" s="32" t="n">
        <v>7</v>
      </c>
      <c r="I61" s="32" t="n">
        <v>8</v>
      </c>
      <c r="J61" s="32" t="n">
        <v>9</v>
      </c>
      <c r="K61" s="32" t="n">
        <v>9</v>
      </c>
      <c r="L61" s="32" t="n">
        <v>10</v>
      </c>
      <c r="M61" s="43">
        <f>IF(COUNT(C61:L61)=0,"",SUM(C61:L61))</f>
        <v/>
      </c>
      <c r="N61" s="44">
        <f>M61/100</f>
        <v/>
      </c>
      <c r="O61" s="45">
        <f>IF(M61="","",IF(M61&lt;50,"ضعيف",IF(M61&lt;75,"متوسط","ممتاز")))</f>
        <v/>
      </c>
      <c r="P61" s="73">
        <f>IF(M61="","",B61&amp;" – درجة: "&amp;TEXT(M61,"0.0")&amp;"/100 – "&amp;O61)</f>
        <v/>
      </c>
    </row>
    <row r="62" ht="20" customHeight="1">
      <c r="A62" s="46" t="n">
        <v>58</v>
      </c>
      <c r="B62" s="47">
        <f>'قاعدة الأسماء'!B62</f>
        <v/>
      </c>
      <c r="C62" s="48" t="n">
        <v>8</v>
      </c>
      <c r="D62" s="48" t="n">
        <v>10</v>
      </c>
      <c r="E62" s="48" t="n">
        <v>6</v>
      </c>
      <c r="F62" s="48" t="n">
        <v>9</v>
      </c>
      <c r="G62" s="48" t="n">
        <v>9</v>
      </c>
      <c r="H62" s="48" t="n">
        <v>9</v>
      </c>
      <c r="I62" s="48" t="n">
        <v>8</v>
      </c>
      <c r="J62" s="48" t="n">
        <v>8</v>
      </c>
      <c r="K62" s="48" t="n">
        <v>9</v>
      </c>
      <c r="L62" s="48" t="n">
        <v>8</v>
      </c>
      <c r="M62" s="49">
        <f>IF(COUNT(C62:L62)=0,"",SUM(C62:L62))</f>
        <v/>
      </c>
      <c r="N62" s="50">
        <f>M62/100</f>
        <v/>
      </c>
      <c r="O62" s="51">
        <f>IF(M62="","",IF(M62&lt;50,"ضعيف",IF(M62&lt;75,"متوسط","ممتاز")))</f>
        <v/>
      </c>
      <c r="P62" s="75">
        <f>IF(M62="","",B62&amp;" – درجة: "&amp;TEXT(M62,"0.0")&amp;"/100 – "&amp;O62)</f>
        <v/>
      </c>
    </row>
    <row r="63" ht="20" customHeight="1">
      <c r="A63" s="30" t="n">
        <v>59</v>
      </c>
      <c r="B63" s="31">
        <f>'قاعدة الأسماء'!B63</f>
        <v/>
      </c>
      <c r="C63" s="32" t="n">
        <v>10</v>
      </c>
      <c r="D63" s="32" t="n">
        <v>8</v>
      </c>
      <c r="E63" s="32" t="n">
        <v>6</v>
      </c>
      <c r="F63" s="32" t="n">
        <v>7</v>
      </c>
      <c r="G63" s="32" t="n">
        <v>9</v>
      </c>
      <c r="H63" s="32" t="n">
        <v>9</v>
      </c>
      <c r="I63" s="32" t="n">
        <v>8</v>
      </c>
      <c r="J63" s="32" t="n">
        <v>8</v>
      </c>
      <c r="K63" s="32" t="n">
        <v>9</v>
      </c>
      <c r="L63" s="32" t="n">
        <v>7</v>
      </c>
      <c r="M63" s="43">
        <f>IF(COUNT(C63:L63)=0,"",SUM(C63:L63))</f>
        <v/>
      </c>
      <c r="N63" s="44">
        <f>M63/100</f>
        <v/>
      </c>
      <c r="O63" s="45">
        <f>IF(M63="","",IF(M63&lt;50,"ضعيف",IF(M63&lt;75,"متوسط","ممتاز")))</f>
        <v/>
      </c>
      <c r="P63" s="73">
        <f>IF(M63="","",B63&amp;" – درجة: "&amp;TEXT(M63,"0.0")&amp;"/100 – "&amp;O63)</f>
        <v/>
      </c>
    </row>
    <row r="64" ht="20" customHeight="1">
      <c r="A64" s="46" t="n">
        <v>60</v>
      </c>
      <c r="B64" s="47">
        <f>'قاعدة الأسماء'!B64</f>
        <v/>
      </c>
      <c r="C64" s="48" t="n">
        <v>8</v>
      </c>
      <c r="D64" s="48" t="n">
        <v>9</v>
      </c>
      <c r="E64" s="48" t="n">
        <v>7</v>
      </c>
      <c r="F64" s="48" t="n">
        <v>10</v>
      </c>
      <c r="G64" s="48" t="n">
        <v>9</v>
      </c>
      <c r="H64" s="48" t="n">
        <v>9</v>
      </c>
      <c r="I64" s="48" t="n">
        <v>8</v>
      </c>
      <c r="J64" s="48" t="n">
        <v>9</v>
      </c>
      <c r="K64" s="48" t="n">
        <v>9</v>
      </c>
      <c r="L64" s="48" t="n">
        <v>10</v>
      </c>
      <c r="M64" s="49">
        <f>IF(COUNT(C64:L64)=0,"",SUM(C64:L64))</f>
        <v/>
      </c>
      <c r="N64" s="50">
        <f>M64/100</f>
        <v/>
      </c>
      <c r="O64" s="51">
        <f>IF(M64="","",IF(M64&lt;50,"ضعيف",IF(M64&lt;75,"متوسط","ممتاز")))</f>
        <v/>
      </c>
      <c r="P64" s="75">
        <f>IF(M64="","",B64&amp;" – درجة: "&amp;TEXT(M64,"0.0")&amp;"/100 – "&amp;O64)</f>
        <v/>
      </c>
    </row>
    <row r="65" ht="20" customHeight="1">
      <c r="A65" s="30" t="n">
        <v>61</v>
      </c>
      <c r="B65" s="31">
        <f>'قاعدة الأسماء'!B65</f>
        <v/>
      </c>
      <c r="C65" s="32" t="n">
        <v>9</v>
      </c>
      <c r="D65" s="32" t="n">
        <v>10</v>
      </c>
      <c r="E65" s="32" t="n">
        <v>8</v>
      </c>
      <c r="F65" s="32" t="n">
        <v>9</v>
      </c>
      <c r="G65" s="32" t="n">
        <v>8</v>
      </c>
      <c r="H65" s="32" t="n">
        <v>9</v>
      </c>
      <c r="I65" s="32" t="n">
        <v>8</v>
      </c>
      <c r="J65" s="32" t="n">
        <v>8</v>
      </c>
      <c r="K65" s="32" t="n">
        <v>10</v>
      </c>
      <c r="L65" s="32" t="n">
        <v>10</v>
      </c>
      <c r="M65" s="43">
        <f>IF(COUNT(C65:L65)=0,"",SUM(C65:L65))</f>
        <v/>
      </c>
      <c r="N65" s="44">
        <f>M65/100</f>
        <v/>
      </c>
      <c r="O65" s="45">
        <f>IF(M65="","",IF(M65&lt;50,"ضعيف",IF(M65&lt;75,"متوسط","ممتاز")))</f>
        <v/>
      </c>
      <c r="P65" s="73">
        <f>IF(M65="","",B65&amp;" – درجة: "&amp;TEXT(M65,"0.0")&amp;"/100 – "&amp;O65)</f>
        <v/>
      </c>
    </row>
    <row r="66" ht="20" customHeight="1">
      <c r="A66" s="46" t="n">
        <v>62</v>
      </c>
      <c r="B66" s="47">
        <f>'قاعدة الأسماء'!B66</f>
        <v/>
      </c>
      <c r="C66" s="48" t="n">
        <v>9</v>
      </c>
      <c r="D66" s="48" t="n">
        <v>10</v>
      </c>
      <c r="E66" s="48" t="n">
        <v>10</v>
      </c>
      <c r="F66" s="48" t="n">
        <v>8</v>
      </c>
      <c r="G66" s="48" t="n">
        <v>9</v>
      </c>
      <c r="H66" s="48" t="n">
        <v>8</v>
      </c>
      <c r="I66" s="48" t="n">
        <v>10</v>
      </c>
      <c r="J66" s="48" t="n">
        <v>8</v>
      </c>
      <c r="K66" s="48" t="n">
        <v>9</v>
      </c>
      <c r="L66" s="48" t="n">
        <v>8</v>
      </c>
      <c r="M66" s="49">
        <f>IF(COUNT(C66:L66)=0,"",SUM(C66:L66))</f>
        <v/>
      </c>
      <c r="N66" s="50">
        <f>M66/100</f>
        <v/>
      </c>
      <c r="O66" s="51">
        <f>IF(M66="","",IF(M66&lt;50,"ضعيف",IF(M66&lt;75,"متوسط","ممتاز")))</f>
        <v/>
      </c>
      <c r="P66" s="75">
        <f>IF(M66="","",B66&amp;" – درجة: "&amp;TEXT(M66,"0.0")&amp;"/100 – "&amp;O66)</f>
        <v/>
      </c>
    </row>
    <row r="67" ht="20" customHeight="1">
      <c r="A67" s="30" t="n">
        <v>63</v>
      </c>
      <c r="B67" s="31">
        <f>'قاعدة الأسماء'!B67</f>
        <v/>
      </c>
      <c r="C67" s="32" t="n">
        <v>8</v>
      </c>
      <c r="D67" s="32" t="n">
        <v>9</v>
      </c>
      <c r="E67" s="32" t="n">
        <v>9</v>
      </c>
      <c r="F67" s="32" t="n">
        <v>7</v>
      </c>
      <c r="G67" s="32" t="n">
        <v>8</v>
      </c>
      <c r="H67" s="32" t="n">
        <v>9</v>
      </c>
      <c r="I67" s="32" t="n">
        <v>9</v>
      </c>
      <c r="J67" s="32" t="n">
        <v>9</v>
      </c>
      <c r="K67" s="32" t="n">
        <v>9</v>
      </c>
      <c r="L67" s="32" t="n">
        <v>10</v>
      </c>
      <c r="M67" s="43">
        <f>IF(COUNT(C67:L67)=0,"",SUM(C67:L67))</f>
        <v/>
      </c>
      <c r="N67" s="44">
        <f>M67/100</f>
        <v/>
      </c>
      <c r="O67" s="45">
        <f>IF(M67="","",IF(M67&lt;50,"ضعيف",IF(M67&lt;75,"متوسط","ممتاز")))</f>
        <v/>
      </c>
      <c r="P67" s="73">
        <f>IF(M67="","",B67&amp;" – درجة: "&amp;TEXT(M67,"0.0")&amp;"/100 – "&amp;O67)</f>
        <v/>
      </c>
    </row>
    <row r="68" ht="20" customHeight="1">
      <c r="A68" s="46" t="n">
        <v>64</v>
      </c>
      <c r="B68" s="47">
        <f>'قاعدة الأسماء'!B68</f>
        <v/>
      </c>
      <c r="C68" s="48" t="n">
        <v>8</v>
      </c>
      <c r="D68" s="48" t="n">
        <v>9</v>
      </c>
      <c r="E68" s="48" t="n">
        <v>9</v>
      </c>
      <c r="F68" s="48" t="n">
        <v>10</v>
      </c>
      <c r="G68" s="48" t="n">
        <v>10</v>
      </c>
      <c r="H68" s="48" t="n">
        <v>8</v>
      </c>
      <c r="I68" s="48" t="n">
        <v>8</v>
      </c>
      <c r="J68" s="48" t="n">
        <v>10</v>
      </c>
      <c r="K68" s="48" t="n">
        <v>9</v>
      </c>
      <c r="L68" s="48" t="n">
        <v>10</v>
      </c>
      <c r="M68" s="49">
        <f>IF(COUNT(C68:L68)=0,"",SUM(C68:L68))</f>
        <v/>
      </c>
      <c r="N68" s="50">
        <f>M68/100</f>
        <v/>
      </c>
      <c r="O68" s="51">
        <f>IF(M68="","",IF(M68&lt;50,"ضعيف",IF(M68&lt;75,"متوسط","ممتاز")))</f>
        <v/>
      </c>
      <c r="P68" s="75">
        <f>IF(M68="","",B68&amp;" – درجة: "&amp;TEXT(M68,"0.0")&amp;"/100 – "&amp;O68)</f>
        <v/>
      </c>
    </row>
    <row r="69" ht="20" customHeight="1">
      <c r="A69" s="30" t="n">
        <v>65</v>
      </c>
      <c r="B69" s="31">
        <f>'قاعدة الأسماء'!B69</f>
        <v/>
      </c>
      <c r="C69" s="32" t="n">
        <v>8</v>
      </c>
      <c r="D69" s="32" t="n">
        <v>9</v>
      </c>
      <c r="E69" s="32" t="n">
        <v>10</v>
      </c>
      <c r="F69" s="32" t="n">
        <v>9</v>
      </c>
      <c r="G69" s="32" t="n">
        <v>8</v>
      </c>
      <c r="H69" s="32" t="n">
        <v>8</v>
      </c>
      <c r="I69" s="32" t="n">
        <v>10</v>
      </c>
      <c r="J69" s="32" t="n">
        <v>8</v>
      </c>
      <c r="K69" s="32" t="n">
        <v>10</v>
      </c>
      <c r="L69" s="32" t="n">
        <v>7</v>
      </c>
      <c r="M69" s="43">
        <f>IF(COUNT(C69:L69)=0,"",SUM(C69:L69))</f>
        <v/>
      </c>
      <c r="N69" s="44">
        <f>M69/100</f>
        <v/>
      </c>
      <c r="O69" s="45">
        <f>IF(M69="","",IF(M69&lt;50,"ضعيف",IF(M69&lt;75,"متوسط","ممتاز")))</f>
        <v/>
      </c>
      <c r="P69" s="73">
        <f>IF(M69="","",B69&amp;" – درجة: "&amp;TEXT(M69,"0.0")&amp;"/100 – "&amp;O69)</f>
        <v/>
      </c>
    </row>
    <row r="70" ht="20" customHeight="1">
      <c r="A70" s="46" t="n">
        <v>66</v>
      </c>
      <c r="B70" s="47">
        <f>'قاعدة الأسماء'!B70</f>
        <v/>
      </c>
      <c r="C70" s="48" t="n">
        <v>9</v>
      </c>
      <c r="D70" s="48" t="n">
        <v>8</v>
      </c>
      <c r="E70" s="48" t="n">
        <v>9</v>
      </c>
      <c r="F70" s="48" t="n">
        <v>9</v>
      </c>
      <c r="G70" s="48" t="n">
        <v>8</v>
      </c>
      <c r="H70" s="48" t="n">
        <v>9</v>
      </c>
      <c r="I70" s="48" t="n">
        <v>8</v>
      </c>
      <c r="J70" s="48" t="n">
        <v>8</v>
      </c>
      <c r="K70" s="48" t="n">
        <v>9</v>
      </c>
      <c r="L70" s="48" t="n">
        <v>9</v>
      </c>
      <c r="M70" s="49">
        <f>IF(COUNT(C70:L70)=0,"",SUM(C70:L70))</f>
        <v/>
      </c>
      <c r="N70" s="50">
        <f>M70/100</f>
        <v/>
      </c>
      <c r="O70" s="51">
        <f>IF(M70="","",IF(M70&lt;50,"ضعيف",IF(M70&lt;75,"متوسط","ممتاز")))</f>
        <v/>
      </c>
      <c r="P70" s="75">
        <f>IF(M70="","",B70&amp;" – درجة: "&amp;TEXT(M70,"0.0")&amp;"/100 – "&amp;O70)</f>
        <v/>
      </c>
    </row>
    <row r="71" ht="20" customHeight="1">
      <c r="A71" s="30" t="n">
        <v>67</v>
      </c>
      <c r="B71" s="31">
        <f>'قاعدة الأسماء'!B71</f>
        <v/>
      </c>
      <c r="C71" s="32" t="n">
        <v>9</v>
      </c>
      <c r="D71" s="32" t="n">
        <v>9</v>
      </c>
      <c r="E71" s="32" t="n">
        <v>10</v>
      </c>
      <c r="F71" s="32" t="n">
        <v>7</v>
      </c>
      <c r="G71" s="32" t="n">
        <v>10</v>
      </c>
      <c r="H71" s="32" t="n">
        <v>9</v>
      </c>
      <c r="I71" s="32" t="n">
        <v>9</v>
      </c>
      <c r="J71" s="32" t="n">
        <v>8</v>
      </c>
      <c r="K71" s="32" t="n">
        <v>8</v>
      </c>
      <c r="L71" s="32" t="n">
        <v>7</v>
      </c>
      <c r="M71" s="43">
        <f>IF(COUNT(C71:L71)=0,"",SUM(C71:L71))</f>
        <v/>
      </c>
      <c r="N71" s="44">
        <f>M71/100</f>
        <v/>
      </c>
      <c r="O71" s="45">
        <f>IF(M71="","",IF(M71&lt;50,"ضعيف",IF(M71&lt;75,"متوسط","ممتاز")))</f>
        <v/>
      </c>
      <c r="P71" s="73">
        <f>IF(M71="","",B71&amp;" – درجة: "&amp;TEXT(M71,"0.0")&amp;"/100 – "&amp;O71)</f>
        <v/>
      </c>
    </row>
    <row r="72" ht="20" customHeight="1">
      <c r="A72" s="46" t="n">
        <v>68</v>
      </c>
      <c r="B72" s="47">
        <f>'قاعدة الأسماء'!B72</f>
        <v/>
      </c>
      <c r="C72" s="48" t="n">
        <v>10</v>
      </c>
      <c r="D72" s="48" t="n">
        <v>9</v>
      </c>
      <c r="E72" s="48" t="n">
        <v>8</v>
      </c>
      <c r="F72" s="48" t="n">
        <v>8</v>
      </c>
      <c r="G72" s="48" t="n">
        <v>10</v>
      </c>
      <c r="H72" s="48" t="n">
        <v>9</v>
      </c>
      <c r="I72" s="48" t="n">
        <v>9</v>
      </c>
      <c r="J72" s="48" t="n">
        <v>9</v>
      </c>
      <c r="K72" s="48" t="n">
        <v>9</v>
      </c>
      <c r="L72" s="48" t="n">
        <v>9</v>
      </c>
      <c r="M72" s="49">
        <f>IF(COUNT(C72:L72)=0,"",SUM(C72:L72))</f>
        <v/>
      </c>
      <c r="N72" s="50">
        <f>M72/100</f>
        <v/>
      </c>
      <c r="O72" s="51">
        <f>IF(M72="","",IF(M72&lt;50,"ضعيف",IF(M72&lt;75,"متوسط","ممتاز")))</f>
        <v/>
      </c>
      <c r="P72" s="75">
        <f>IF(M72="","",B72&amp;" – درجة: "&amp;TEXT(M72,"0.0")&amp;"/100 – "&amp;O72)</f>
        <v/>
      </c>
    </row>
    <row r="73" ht="20" customHeight="1">
      <c r="A73" s="30" t="n">
        <v>69</v>
      </c>
      <c r="B73" s="31">
        <f>'قاعدة الأسماء'!B73</f>
        <v/>
      </c>
      <c r="C73" s="32" t="n">
        <v>9</v>
      </c>
      <c r="D73" s="32" t="n">
        <v>10</v>
      </c>
      <c r="E73" s="32" t="n">
        <v>8</v>
      </c>
      <c r="F73" s="32" t="n">
        <v>9</v>
      </c>
      <c r="G73" s="32" t="n">
        <v>10</v>
      </c>
      <c r="H73" s="32" t="n">
        <v>8</v>
      </c>
      <c r="I73" s="32" t="n">
        <v>10</v>
      </c>
      <c r="J73" s="32" t="n">
        <v>8</v>
      </c>
      <c r="K73" s="32" t="n">
        <v>8</v>
      </c>
      <c r="L73" s="32" t="n">
        <v>9</v>
      </c>
      <c r="M73" s="43">
        <f>IF(COUNT(C73:L73)=0,"",SUM(C73:L73))</f>
        <v/>
      </c>
      <c r="N73" s="44">
        <f>M73/100</f>
        <v/>
      </c>
      <c r="O73" s="45">
        <f>IF(M73="","",IF(M73&lt;50,"ضعيف",IF(M73&lt;75,"متوسط","ممتاز")))</f>
        <v/>
      </c>
      <c r="P73" s="73">
        <f>IF(M73="","",B73&amp;" – درجة: "&amp;TEXT(M73,"0.0")&amp;"/100 – "&amp;O73)</f>
        <v/>
      </c>
    </row>
    <row r="74" ht="20" customHeight="1">
      <c r="A74" s="46" t="n">
        <v>70</v>
      </c>
      <c r="B74" s="47">
        <f>'قاعدة الأسماء'!B74</f>
        <v/>
      </c>
      <c r="C74" s="48" t="n">
        <v>9</v>
      </c>
      <c r="D74" s="48" t="n">
        <v>9</v>
      </c>
      <c r="E74" s="48" t="n">
        <v>5</v>
      </c>
      <c r="F74" s="48" t="n">
        <v>10</v>
      </c>
      <c r="G74" s="48" t="n">
        <v>9</v>
      </c>
      <c r="H74" s="48" t="n">
        <v>7</v>
      </c>
      <c r="I74" s="48" t="n">
        <v>6</v>
      </c>
      <c r="J74" s="48" t="n">
        <v>10</v>
      </c>
      <c r="K74" s="48" t="n">
        <v>7</v>
      </c>
      <c r="L74" s="48" t="n">
        <v>7</v>
      </c>
      <c r="M74" s="49">
        <f>IF(COUNT(C74:L74)=0,"",SUM(C74:L74))</f>
        <v/>
      </c>
      <c r="N74" s="50">
        <f>M74/100</f>
        <v/>
      </c>
      <c r="O74" s="51">
        <f>IF(M74="","",IF(M74&lt;50,"ضعيف",IF(M74&lt;75,"متوسط","ممتاز")))</f>
        <v/>
      </c>
      <c r="P74" s="75">
        <f>IF(M74="","",B74&amp;" – درجة: "&amp;TEXT(M74,"0.0")&amp;"/100 – "&amp;O74)</f>
        <v/>
      </c>
    </row>
    <row r="75" ht="20" customHeight="1">
      <c r="A75" s="30" t="n">
        <v>71</v>
      </c>
      <c r="B75" s="31">
        <f>'قاعدة الأسماء'!B75</f>
        <v/>
      </c>
      <c r="C75" s="32" t="n">
        <v>8</v>
      </c>
      <c r="D75" s="32" t="n">
        <v>9</v>
      </c>
      <c r="E75" s="32" t="n">
        <v>9</v>
      </c>
      <c r="F75" s="32" t="n">
        <v>9</v>
      </c>
      <c r="G75" s="32" t="n">
        <v>9</v>
      </c>
      <c r="H75" s="32" t="n">
        <v>9</v>
      </c>
      <c r="I75" s="32" t="n">
        <v>9</v>
      </c>
      <c r="J75" s="32" t="n">
        <v>10</v>
      </c>
      <c r="K75" s="32" t="n">
        <v>8</v>
      </c>
      <c r="L75" s="32" t="n">
        <v>10</v>
      </c>
      <c r="M75" s="43">
        <f>IF(COUNT(C75:L75)=0,"",SUM(C75:L75))</f>
        <v/>
      </c>
      <c r="N75" s="44">
        <f>M75/100</f>
        <v/>
      </c>
      <c r="O75" s="45">
        <f>IF(M75="","",IF(M75&lt;50,"ضعيف",IF(M75&lt;75,"متوسط","ممتاز")))</f>
        <v/>
      </c>
      <c r="P75" s="73">
        <f>IF(M75="","",B75&amp;" – درجة: "&amp;TEXT(M75,"0.0")&amp;"/100 – "&amp;O75)</f>
        <v/>
      </c>
    </row>
    <row r="76" ht="20" customHeight="1">
      <c r="A76" s="46" t="n">
        <v>72</v>
      </c>
      <c r="B76" s="47">
        <f>'قاعدة الأسماء'!B76</f>
        <v/>
      </c>
      <c r="C76" s="48" t="n">
        <v>8</v>
      </c>
      <c r="D76" s="48" t="n">
        <v>10</v>
      </c>
      <c r="E76" s="48" t="n">
        <v>8</v>
      </c>
      <c r="F76" s="48" t="n">
        <v>9</v>
      </c>
      <c r="G76" s="48" t="n">
        <v>10</v>
      </c>
      <c r="H76" s="48" t="n">
        <v>9</v>
      </c>
      <c r="I76" s="48" t="n">
        <v>8</v>
      </c>
      <c r="J76" s="48" t="n">
        <v>10</v>
      </c>
      <c r="K76" s="48" t="n">
        <v>8</v>
      </c>
      <c r="L76" s="48" t="n">
        <v>9</v>
      </c>
      <c r="M76" s="49">
        <f>IF(COUNT(C76:L76)=0,"",SUM(C76:L76))</f>
        <v/>
      </c>
      <c r="N76" s="50">
        <f>M76/100</f>
        <v/>
      </c>
      <c r="O76" s="51">
        <f>IF(M76="","",IF(M76&lt;50,"ضعيف",IF(M76&lt;75,"متوسط","ممتاز")))</f>
        <v/>
      </c>
      <c r="P76" s="75">
        <f>IF(M76="","",B76&amp;" – درجة: "&amp;TEXT(M76,"0.0")&amp;"/100 – "&amp;O76)</f>
        <v/>
      </c>
    </row>
    <row r="77" ht="20" customHeight="1">
      <c r="A77" s="30" t="n">
        <v>73</v>
      </c>
      <c r="B77" s="31">
        <f>'قاعدة الأسماء'!B77</f>
        <v/>
      </c>
      <c r="C77" s="32" t="n">
        <v>9</v>
      </c>
      <c r="D77" s="32" t="n">
        <v>9</v>
      </c>
      <c r="E77" s="32" t="n">
        <v>9</v>
      </c>
      <c r="F77" s="32" t="n">
        <v>9</v>
      </c>
      <c r="G77" s="32" t="n">
        <v>8</v>
      </c>
      <c r="H77" s="32" t="n">
        <v>8</v>
      </c>
      <c r="I77" s="32" t="n">
        <v>10</v>
      </c>
      <c r="J77" s="32" t="n">
        <v>10</v>
      </c>
      <c r="K77" s="32" t="n">
        <v>9</v>
      </c>
      <c r="L77" s="32" t="n">
        <v>10</v>
      </c>
      <c r="M77" s="43">
        <f>IF(COUNT(C77:L77)=0,"",SUM(C77:L77))</f>
        <v/>
      </c>
      <c r="N77" s="44">
        <f>M77/100</f>
        <v/>
      </c>
      <c r="O77" s="45">
        <f>IF(M77="","",IF(M77&lt;50,"ضعيف",IF(M77&lt;75,"متوسط","ممتاز")))</f>
        <v/>
      </c>
      <c r="P77" s="73">
        <f>IF(M77="","",B77&amp;" – درجة: "&amp;TEXT(M77,"0.0")&amp;"/100 – "&amp;O77)</f>
        <v/>
      </c>
    </row>
    <row r="78" ht="20" customHeight="1">
      <c r="A78" s="46" t="n">
        <v>74</v>
      </c>
      <c r="B78" s="47">
        <f>'قاعدة الأسماء'!B78</f>
        <v/>
      </c>
      <c r="C78" s="48" t="n">
        <v>9</v>
      </c>
      <c r="D78" s="48" t="n">
        <v>8</v>
      </c>
      <c r="E78" s="48" t="n">
        <v>9</v>
      </c>
      <c r="F78" s="48" t="n">
        <v>10</v>
      </c>
      <c r="G78" s="48" t="n">
        <v>9</v>
      </c>
      <c r="H78" s="48" t="n">
        <v>9</v>
      </c>
      <c r="I78" s="48" t="n">
        <v>9</v>
      </c>
      <c r="J78" s="48" t="n">
        <v>10</v>
      </c>
      <c r="K78" s="48" t="n">
        <v>10</v>
      </c>
      <c r="L78" s="48" t="n">
        <v>8</v>
      </c>
      <c r="M78" s="49">
        <f>IF(COUNT(C78:L78)=0,"",SUM(C78:L78))</f>
        <v/>
      </c>
      <c r="N78" s="50">
        <f>M78/100</f>
        <v/>
      </c>
      <c r="O78" s="51">
        <f>IF(M78="","",IF(M78&lt;50,"ضعيف",IF(M78&lt;75,"متوسط","ممتاز")))</f>
        <v/>
      </c>
      <c r="P78" s="75">
        <f>IF(M78="","",B78&amp;" – درجة: "&amp;TEXT(M78,"0.0")&amp;"/100 – "&amp;O78)</f>
        <v/>
      </c>
    </row>
    <row r="79" ht="20" customHeight="1">
      <c r="A79" s="30" t="n">
        <v>75</v>
      </c>
      <c r="B79" s="31">
        <f>'قاعدة الأسماء'!B79</f>
        <v/>
      </c>
      <c r="C79" s="32" t="n">
        <v>9</v>
      </c>
      <c r="D79" s="32" t="n">
        <v>9</v>
      </c>
      <c r="E79" s="32" t="n">
        <v>8</v>
      </c>
      <c r="F79" s="32" t="n">
        <v>8</v>
      </c>
      <c r="G79" s="32" t="n">
        <v>7</v>
      </c>
      <c r="H79" s="32" t="n">
        <v>8</v>
      </c>
      <c r="I79" s="32" t="n">
        <v>10</v>
      </c>
      <c r="J79" s="32" t="n">
        <v>8</v>
      </c>
      <c r="K79" s="32" t="n">
        <v>9</v>
      </c>
      <c r="L79" s="32" t="n">
        <v>8</v>
      </c>
      <c r="M79" s="43">
        <f>IF(COUNT(C79:L79)=0,"",SUM(C79:L79))</f>
        <v/>
      </c>
      <c r="N79" s="44">
        <f>M79/100</f>
        <v/>
      </c>
      <c r="O79" s="45">
        <f>IF(M79="","",IF(M79&lt;50,"ضعيف",IF(M79&lt;75,"متوسط","ممتاز")))</f>
        <v/>
      </c>
      <c r="P79" s="73">
        <f>IF(M79="","",B79&amp;" – درجة: "&amp;TEXT(M79,"0.0")&amp;"/100 – "&amp;O79)</f>
        <v/>
      </c>
    </row>
    <row r="80" ht="20" customHeight="1">
      <c r="A80" s="46" t="n">
        <v>76</v>
      </c>
      <c r="B80" s="47">
        <f>'قاعدة الأسماء'!B80</f>
        <v/>
      </c>
      <c r="C80" s="48" t="n">
        <v>9</v>
      </c>
      <c r="D80" s="48" t="n">
        <v>8</v>
      </c>
      <c r="E80" s="48" t="n">
        <v>6</v>
      </c>
      <c r="F80" s="48" t="n">
        <v>5</v>
      </c>
      <c r="G80" s="48" t="n">
        <v>9</v>
      </c>
      <c r="H80" s="48" t="n">
        <v>7</v>
      </c>
      <c r="I80" s="48" t="n">
        <v>7</v>
      </c>
      <c r="J80" s="48" t="n">
        <v>9</v>
      </c>
      <c r="K80" s="48" t="n">
        <v>8</v>
      </c>
      <c r="L80" s="48" t="n">
        <v>6</v>
      </c>
      <c r="M80" s="49">
        <f>IF(COUNT(C80:L80)=0,"",SUM(C80:L80))</f>
        <v/>
      </c>
      <c r="N80" s="50">
        <f>M80/100</f>
        <v/>
      </c>
      <c r="O80" s="51">
        <f>IF(M80="","",IF(M80&lt;50,"ضعيف",IF(M80&lt;75,"متوسط","ممتاز")))</f>
        <v/>
      </c>
      <c r="P80" s="75">
        <f>IF(M80="","",B80&amp;" – درجة: "&amp;TEXT(M80,"0.0")&amp;"/100 – "&amp;O80)</f>
        <v/>
      </c>
    </row>
    <row r="81" ht="20" customHeight="1">
      <c r="A81" s="30" t="n">
        <v>77</v>
      </c>
      <c r="B81" s="31">
        <f>'قاعدة الأسماء'!B81</f>
        <v/>
      </c>
      <c r="C81" s="32" t="n">
        <v>10</v>
      </c>
      <c r="D81" s="32" t="n">
        <v>7</v>
      </c>
      <c r="E81" s="32" t="n">
        <v>6</v>
      </c>
      <c r="F81" s="32" t="n">
        <v>9</v>
      </c>
      <c r="G81" s="32" t="n">
        <v>9</v>
      </c>
      <c r="H81" s="32" t="n">
        <v>7</v>
      </c>
      <c r="I81" s="32" t="n">
        <v>10</v>
      </c>
      <c r="J81" s="32" t="n">
        <v>7</v>
      </c>
      <c r="K81" s="32" t="n">
        <v>6</v>
      </c>
      <c r="L81" s="32" t="n">
        <v>8</v>
      </c>
      <c r="M81" s="43">
        <f>IF(COUNT(C81:L81)=0,"",SUM(C81:L81))</f>
        <v/>
      </c>
      <c r="N81" s="44">
        <f>M81/100</f>
        <v/>
      </c>
      <c r="O81" s="45">
        <f>IF(M81="","",IF(M81&lt;50,"ضعيف",IF(M81&lt;75,"متوسط","ممتاز")))</f>
        <v/>
      </c>
      <c r="P81" s="73">
        <f>IF(M81="","",B81&amp;" – درجة: "&amp;TEXT(M81,"0.0")&amp;"/100 – "&amp;O81)</f>
        <v/>
      </c>
    </row>
    <row r="82" ht="20" customHeight="1">
      <c r="A82" s="46" t="n">
        <v>78</v>
      </c>
      <c r="B82" s="47">
        <f>'قاعدة الأسماء'!B82</f>
        <v/>
      </c>
      <c r="C82" s="48" t="n">
        <v>7</v>
      </c>
      <c r="D82" s="48" t="n">
        <v>6</v>
      </c>
      <c r="E82" s="48" t="n">
        <v>8</v>
      </c>
      <c r="F82" s="48" t="n">
        <v>7</v>
      </c>
      <c r="G82" s="48" t="n">
        <v>9</v>
      </c>
      <c r="H82" s="48" t="n">
        <v>7</v>
      </c>
      <c r="I82" s="48" t="n">
        <v>8</v>
      </c>
      <c r="J82" s="48" t="n">
        <v>7</v>
      </c>
      <c r="K82" s="48" t="n">
        <v>8</v>
      </c>
      <c r="L82" s="48" t="n">
        <v>7</v>
      </c>
      <c r="M82" s="49">
        <f>IF(COUNT(C82:L82)=0,"",SUM(C82:L82))</f>
        <v/>
      </c>
      <c r="N82" s="50">
        <f>M82/100</f>
        <v/>
      </c>
      <c r="O82" s="51">
        <f>IF(M82="","",IF(M82&lt;50,"ضعيف",IF(M82&lt;75,"متوسط","ممتاز")))</f>
        <v/>
      </c>
      <c r="P82" s="75">
        <f>IF(M82="","",B82&amp;" – درجة: "&amp;TEXT(M82,"0.0")&amp;"/100 – "&amp;O82)</f>
        <v/>
      </c>
    </row>
    <row r="83" ht="20" customHeight="1">
      <c r="A83" s="30" t="n">
        <v>79</v>
      </c>
      <c r="B83" s="31">
        <f>'قاعدة الأسماء'!B83</f>
        <v/>
      </c>
      <c r="C83" s="32" t="n">
        <v>9</v>
      </c>
      <c r="D83" s="32" t="n">
        <v>6</v>
      </c>
      <c r="E83" s="32" t="n">
        <v>5</v>
      </c>
      <c r="F83" s="32" t="n">
        <v>8</v>
      </c>
      <c r="G83" s="32" t="n">
        <v>9</v>
      </c>
      <c r="H83" s="32" t="n">
        <v>7</v>
      </c>
      <c r="I83" s="32" t="n">
        <v>7</v>
      </c>
      <c r="J83" s="32" t="n">
        <v>6</v>
      </c>
      <c r="K83" s="32" t="n">
        <v>6</v>
      </c>
      <c r="L83" s="32" t="n">
        <v>9</v>
      </c>
      <c r="M83" s="43">
        <f>IF(COUNT(C83:L83)=0,"",SUM(C83:L83))</f>
        <v/>
      </c>
      <c r="N83" s="44">
        <f>M83/100</f>
        <v/>
      </c>
      <c r="O83" s="45">
        <f>IF(M83="","",IF(M83&lt;50,"ضعيف",IF(M83&lt;75,"متوسط","ممتاز")))</f>
        <v/>
      </c>
      <c r="P83" s="73">
        <f>IF(M83="","",B83&amp;" – درجة: "&amp;TEXT(M83,"0.0")&amp;"/100 – "&amp;O83)</f>
        <v/>
      </c>
    </row>
    <row r="84" ht="20" customHeight="1">
      <c r="A84" s="46" t="n">
        <v>80</v>
      </c>
      <c r="B84" s="47">
        <f>'قاعدة الأسماء'!B84</f>
        <v/>
      </c>
      <c r="C84" s="48" t="n">
        <v>9</v>
      </c>
      <c r="D84" s="48" t="n">
        <v>7</v>
      </c>
      <c r="E84" s="48" t="n">
        <v>7</v>
      </c>
      <c r="F84" s="48" t="n">
        <v>9</v>
      </c>
      <c r="G84" s="48" t="n">
        <v>7</v>
      </c>
      <c r="H84" s="48" t="n">
        <v>6</v>
      </c>
      <c r="I84" s="48" t="n">
        <v>6</v>
      </c>
      <c r="J84" s="48" t="n">
        <v>8</v>
      </c>
      <c r="K84" s="48" t="n">
        <v>7</v>
      </c>
      <c r="L84" s="48" t="n">
        <v>7</v>
      </c>
      <c r="M84" s="49">
        <f>IF(COUNT(C84:L84)=0,"",SUM(C84:L84))</f>
        <v/>
      </c>
      <c r="N84" s="50">
        <f>M84/100</f>
        <v/>
      </c>
      <c r="O84" s="51">
        <f>IF(M84="","",IF(M84&lt;50,"ضعيف",IF(M84&lt;75,"متوسط","ممتاز")))</f>
        <v/>
      </c>
      <c r="P84" s="75">
        <f>IF(M84="","",B84&amp;" – درجة: "&amp;TEXT(M84,"0.0")&amp;"/100 – "&amp;O84)</f>
        <v/>
      </c>
    </row>
    <row r="85" ht="20" customHeight="1">
      <c r="A85" s="30" t="n">
        <v>81</v>
      </c>
      <c r="B85" s="31">
        <f>'قاعدة الأسماء'!B85</f>
        <v/>
      </c>
      <c r="C85" s="32" t="n">
        <v>7</v>
      </c>
      <c r="D85" s="32" t="n">
        <v>7</v>
      </c>
      <c r="E85" s="32" t="n">
        <v>7</v>
      </c>
      <c r="F85" s="32" t="n">
        <v>9</v>
      </c>
      <c r="G85" s="32" t="n">
        <v>9</v>
      </c>
      <c r="H85" s="32" t="n">
        <v>5</v>
      </c>
      <c r="I85" s="32" t="n">
        <v>8</v>
      </c>
      <c r="J85" s="32" t="n">
        <v>7</v>
      </c>
      <c r="K85" s="32" t="n">
        <v>7</v>
      </c>
      <c r="L85" s="32" t="n">
        <v>7</v>
      </c>
      <c r="M85" s="43">
        <f>IF(COUNT(C85:L85)=0,"",SUM(C85:L85))</f>
        <v/>
      </c>
      <c r="N85" s="44">
        <f>M85/100</f>
        <v/>
      </c>
      <c r="O85" s="45">
        <f>IF(M85="","",IF(M85&lt;50,"ضعيف",IF(M85&lt;75,"متوسط","ممتاز")))</f>
        <v/>
      </c>
      <c r="P85" s="73">
        <f>IF(M85="","",B85&amp;" – درجة: "&amp;TEXT(M85,"0.0")&amp;"/100 – "&amp;O85)</f>
        <v/>
      </c>
    </row>
    <row r="86" ht="20" customHeight="1">
      <c r="A86" s="46" t="n">
        <v>82</v>
      </c>
      <c r="B86" s="47">
        <f>'قاعدة الأسماء'!B86</f>
        <v/>
      </c>
      <c r="C86" s="48" t="n">
        <v>9</v>
      </c>
      <c r="D86" s="48" t="n">
        <v>8</v>
      </c>
      <c r="E86" s="48" t="n">
        <v>4</v>
      </c>
      <c r="F86" s="48" t="n">
        <v>6</v>
      </c>
      <c r="G86" s="48" t="n">
        <v>10</v>
      </c>
      <c r="H86" s="48" t="n">
        <v>6</v>
      </c>
      <c r="I86" s="48" t="n">
        <v>7</v>
      </c>
      <c r="J86" s="48" t="n">
        <v>5</v>
      </c>
      <c r="K86" s="48" t="n">
        <v>6</v>
      </c>
      <c r="L86" s="48" t="n">
        <v>7</v>
      </c>
      <c r="M86" s="49">
        <f>IF(COUNT(C86:L86)=0,"",SUM(C86:L86))</f>
        <v/>
      </c>
      <c r="N86" s="50">
        <f>M86/100</f>
        <v/>
      </c>
      <c r="O86" s="51">
        <f>IF(M86="","",IF(M86&lt;50,"ضعيف",IF(M86&lt;75,"متوسط","ممتاز")))</f>
        <v/>
      </c>
      <c r="P86" s="75">
        <f>IF(M86="","",B86&amp;" – درجة: "&amp;TEXT(M86,"0.0")&amp;"/100 – "&amp;O86)</f>
        <v/>
      </c>
    </row>
    <row r="87" ht="20" customHeight="1">
      <c r="A87" s="30" t="n">
        <v>83</v>
      </c>
      <c r="B87" s="31">
        <f>'قاعدة الأسماء'!B87</f>
        <v/>
      </c>
      <c r="C87" s="32" t="n">
        <v>9</v>
      </c>
      <c r="D87" s="32" t="n">
        <v>8</v>
      </c>
      <c r="E87" s="32" t="n">
        <v>8</v>
      </c>
      <c r="F87" s="32" t="n">
        <v>8</v>
      </c>
      <c r="G87" s="32" t="n">
        <v>7</v>
      </c>
      <c r="H87" s="32" t="n">
        <v>7</v>
      </c>
      <c r="I87" s="32" t="n">
        <v>7</v>
      </c>
      <c r="J87" s="32" t="n">
        <v>7</v>
      </c>
      <c r="K87" s="32" t="n">
        <v>7</v>
      </c>
      <c r="L87" s="32" t="n">
        <v>9</v>
      </c>
      <c r="M87" s="43">
        <f>IF(COUNT(C87:L87)=0,"",SUM(C87:L87))</f>
        <v/>
      </c>
      <c r="N87" s="44">
        <f>M87/100</f>
        <v/>
      </c>
      <c r="O87" s="45">
        <f>IF(M87="","",IF(M87&lt;50,"ضعيف",IF(M87&lt;75,"متوسط","ممتاز")))</f>
        <v/>
      </c>
      <c r="P87" s="73">
        <f>IF(M87="","",B87&amp;" – درجة: "&amp;TEXT(M87,"0.0")&amp;"/100 – "&amp;O87)</f>
        <v/>
      </c>
    </row>
    <row r="88" ht="20" customHeight="1">
      <c r="A88" s="46" t="n">
        <v>84</v>
      </c>
      <c r="B88" s="47">
        <f>'قاعدة الأسماء'!B88</f>
        <v/>
      </c>
      <c r="C88" s="48" t="n">
        <v>7</v>
      </c>
      <c r="D88" s="48" t="n">
        <v>6</v>
      </c>
      <c r="E88" s="48" t="n">
        <v>6</v>
      </c>
      <c r="F88" s="48" t="n">
        <v>7</v>
      </c>
      <c r="G88" s="48" t="n">
        <v>8</v>
      </c>
      <c r="H88" s="48" t="n">
        <v>7</v>
      </c>
      <c r="I88" s="48" t="n">
        <v>8</v>
      </c>
      <c r="J88" s="48" t="n">
        <v>9</v>
      </c>
      <c r="K88" s="48" t="n">
        <v>7</v>
      </c>
      <c r="L88" s="48" t="n">
        <v>7</v>
      </c>
      <c r="M88" s="49">
        <f>IF(COUNT(C88:L88)=0,"",SUM(C88:L88))</f>
        <v/>
      </c>
      <c r="N88" s="50">
        <f>M88/100</f>
        <v/>
      </c>
      <c r="O88" s="51">
        <f>IF(M88="","",IF(M88&lt;50,"ضعيف",IF(M88&lt;75,"متوسط","ممتاز")))</f>
        <v/>
      </c>
      <c r="P88" s="75">
        <f>IF(M88="","",B88&amp;" – درجة: "&amp;TEXT(M88,"0.0")&amp;"/100 – "&amp;O88)</f>
        <v/>
      </c>
    </row>
    <row r="89" ht="20" customHeight="1">
      <c r="A89" s="30" t="n">
        <v>85</v>
      </c>
      <c r="B89" s="31">
        <f>'قاعدة الأسماء'!B89</f>
        <v/>
      </c>
      <c r="C89" s="32" t="n">
        <v>8</v>
      </c>
      <c r="D89" s="32" t="n">
        <v>8</v>
      </c>
      <c r="E89" s="32" t="n">
        <v>6</v>
      </c>
      <c r="F89" s="32" t="n">
        <v>7</v>
      </c>
      <c r="G89" s="32" t="n">
        <v>9</v>
      </c>
      <c r="H89" s="32" t="n">
        <v>7</v>
      </c>
      <c r="I89" s="32" t="n">
        <v>9</v>
      </c>
      <c r="J89" s="32" t="n">
        <v>7</v>
      </c>
      <c r="K89" s="32" t="n">
        <v>7</v>
      </c>
      <c r="L89" s="32" t="n">
        <v>7</v>
      </c>
      <c r="M89" s="43">
        <f>IF(COUNT(C89:L89)=0,"",SUM(C89:L89))</f>
        <v/>
      </c>
      <c r="N89" s="44">
        <f>M89/100</f>
        <v/>
      </c>
      <c r="O89" s="45">
        <f>IF(M89="","",IF(M89&lt;50,"ضعيف",IF(M89&lt;75,"متوسط","ممتاز")))</f>
        <v/>
      </c>
      <c r="P89" s="73">
        <f>IF(M89="","",B89&amp;" – درجة: "&amp;TEXT(M89,"0.0")&amp;"/100 – "&amp;O89)</f>
        <v/>
      </c>
    </row>
    <row r="90" ht="20" customHeight="1">
      <c r="A90" s="46" t="n">
        <v>86</v>
      </c>
      <c r="B90" s="47">
        <f>'قاعدة الأسماء'!B90</f>
        <v/>
      </c>
      <c r="C90" s="48" t="n">
        <v>9</v>
      </c>
      <c r="D90" s="48" t="n">
        <v>7</v>
      </c>
      <c r="E90" s="48" t="n">
        <v>8</v>
      </c>
      <c r="F90" s="48" t="n">
        <v>8</v>
      </c>
      <c r="G90" s="48" t="n">
        <v>7</v>
      </c>
      <c r="H90" s="48" t="n">
        <v>7</v>
      </c>
      <c r="I90" s="48" t="n">
        <v>8</v>
      </c>
      <c r="J90" s="48" t="n">
        <v>6</v>
      </c>
      <c r="K90" s="48" t="n">
        <v>6</v>
      </c>
      <c r="L90" s="48" t="n">
        <v>7</v>
      </c>
      <c r="M90" s="49">
        <f>IF(COUNT(C90:L90)=0,"",SUM(C90:L90))</f>
        <v/>
      </c>
      <c r="N90" s="50">
        <f>M90/100</f>
        <v/>
      </c>
      <c r="O90" s="51">
        <f>IF(M90="","",IF(M90&lt;50,"ضعيف",IF(M90&lt;75,"متوسط","ممتاز")))</f>
        <v/>
      </c>
      <c r="P90" s="75">
        <f>IF(M90="","",B90&amp;" – درجة: "&amp;TEXT(M90,"0.0")&amp;"/100 – "&amp;O90)</f>
        <v/>
      </c>
    </row>
    <row r="91" ht="20" customHeight="1">
      <c r="A91" s="30" t="n">
        <v>87</v>
      </c>
      <c r="B91" s="31">
        <f>'قاعدة الأسماء'!B91</f>
        <v/>
      </c>
      <c r="C91" s="32" t="n">
        <v>9</v>
      </c>
      <c r="D91" s="32" t="n">
        <v>6</v>
      </c>
      <c r="E91" s="32" t="n">
        <v>5</v>
      </c>
      <c r="F91" s="32" t="n">
        <v>5</v>
      </c>
      <c r="G91" s="32" t="n">
        <v>7</v>
      </c>
      <c r="H91" s="32" t="n">
        <v>7</v>
      </c>
      <c r="I91" s="32" t="n">
        <v>7</v>
      </c>
      <c r="J91" s="32" t="n">
        <v>8</v>
      </c>
      <c r="K91" s="32" t="n">
        <v>7</v>
      </c>
      <c r="L91" s="32" t="n">
        <v>6</v>
      </c>
      <c r="M91" s="43">
        <f>IF(COUNT(C91:L91)=0,"",SUM(C91:L91))</f>
        <v/>
      </c>
      <c r="N91" s="44">
        <f>M91/100</f>
        <v/>
      </c>
      <c r="O91" s="45">
        <f>IF(M91="","",IF(M91&lt;50,"ضعيف",IF(M91&lt;75,"متوسط","ممتاز")))</f>
        <v/>
      </c>
      <c r="P91" s="73">
        <f>IF(M91="","",B91&amp;" – درجة: "&amp;TEXT(M91,"0.0")&amp;"/100 – "&amp;O91)</f>
        <v/>
      </c>
    </row>
    <row r="92" ht="20" customHeight="1">
      <c r="A92" s="46" t="n">
        <v>88</v>
      </c>
      <c r="B92" s="47">
        <f>'قاعدة الأسماء'!B92</f>
        <v/>
      </c>
      <c r="C92" s="48" t="n">
        <v>7</v>
      </c>
      <c r="D92" s="48" t="n">
        <v>8</v>
      </c>
      <c r="E92" s="48" t="n">
        <v>5</v>
      </c>
      <c r="F92" s="48" t="n">
        <v>5</v>
      </c>
      <c r="G92" s="48" t="n">
        <v>6</v>
      </c>
      <c r="H92" s="48" t="n">
        <v>6</v>
      </c>
      <c r="I92" s="48" t="n">
        <v>7</v>
      </c>
      <c r="J92" s="48" t="n">
        <v>6</v>
      </c>
      <c r="K92" s="48" t="n">
        <v>7</v>
      </c>
      <c r="L92" s="48" t="n">
        <v>7</v>
      </c>
      <c r="M92" s="49">
        <f>IF(COUNT(C92:L92)=0,"",SUM(C92:L92))</f>
        <v/>
      </c>
      <c r="N92" s="50">
        <f>M92/100</f>
        <v/>
      </c>
      <c r="O92" s="51">
        <f>IF(M92="","",IF(M92&lt;50,"ضعيف",IF(M92&lt;75,"متوسط","ممتاز")))</f>
        <v/>
      </c>
      <c r="P92" s="75">
        <f>IF(M92="","",B92&amp;" – درجة: "&amp;TEXT(M92,"0.0")&amp;"/100 – "&amp;O92)</f>
        <v/>
      </c>
    </row>
    <row r="93" ht="20" customHeight="1">
      <c r="A93" s="30" t="n">
        <v>89</v>
      </c>
      <c r="B93" s="31">
        <f>'قاعدة الأسماء'!B93</f>
        <v/>
      </c>
      <c r="C93" s="32" t="n">
        <v>9</v>
      </c>
      <c r="D93" s="32" t="n">
        <v>8</v>
      </c>
      <c r="E93" s="32" t="n">
        <v>6</v>
      </c>
      <c r="F93" s="32" t="n">
        <v>4</v>
      </c>
      <c r="G93" s="32" t="n">
        <v>9</v>
      </c>
      <c r="H93" s="32" t="n">
        <v>6</v>
      </c>
      <c r="I93" s="32" t="n">
        <v>9</v>
      </c>
      <c r="J93" s="32" t="n">
        <v>5</v>
      </c>
      <c r="K93" s="32" t="n">
        <v>7</v>
      </c>
      <c r="L93" s="32" t="n">
        <v>6</v>
      </c>
      <c r="M93" s="43">
        <f>IF(COUNT(C93:L93)=0,"",SUM(C93:L93))</f>
        <v/>
      </c>
      <c r="N93" s="44">
        <f>M93/100</f>
        <v/>
      </c>
      <c r="O93" s="45">
        <f>IF(M93="","",IF(M93&lt;50,"ضعيف",IF(M93&lt;75,"متوسط","ممتاز")))</f>
        <v/>
      </c>
      <c r="P93" s="73">
        <f>IF(M93="","",B93&amp;" – درجة: "&amp;TEXT(M93,"0.0")&amp;"/100 – "&amp;O93)</f>
        <v/>
      </c>
    </row>
    <row r="94" ht="20" customHeight="1">
      <c r="A94" s="46" t="n">
        <v>90</v>
      </c>
      <c r="B94" s="47">
        <f>'قاعدة الأسماء'!B94</f>
        <v/>
      </c>
      <c r="C94" s="48" t="n">
        <v>10</v>
      </c>
      <c r="D94" s="48" t="n">
        <v>10</v>
      </c>
      <c r="E94" s="48" t="n">
        <v>6</v>
      </c>
      <c r="F94" s="48" t="n">
        <v>6</v>
      </c>
      <c r="G94" s="48" t="n">
        <v>8</v>
      </c>
      <c r="H94" s="48" t="n">
        <v>6</v>
      </c>
      <c r="I94" s="48" t="n">
        <v>8</v>
      </c>
      <c r="J94" s="48" t="n">
        <v>7</v>
      </c>
      <c r="K94" s="48" t="n">
        <v>5</v>
      </c>
      <c r="L94" s="48" t="n">
        <v>8</v>
      </c>
      <c r="M94" s="49">
        <f>IF(COUNT(C94:L94)=0,"",SUM(C94:L94))</f>
        <v/>
      </c>
      <c r="N94" s="50">
        <f>M94/100</f>
        <v/>
      </c>
      <c r="O94" s="51">
        <f>IF(M94="","",IF(M94&lt;50,"ضعيف",IF(M94&lt;75,"متوسط","ممتاز")))</f>
        <v/>
      </c>
      <c r="P94" s="75">
        <f>IF(M94="","",B94&amp;" – درجة: "&amp;TEXT(M94,"0.0")&amp;"/100 – "&amp;O94)</f>
        <v/>
      </c>
    </row>
    <row r="95" ht="20" customHeight="1">
      <c r="A95" s="30" t="n">
        <v>91</v>
      </c>
      <c r="B95" s="31">
        <f>'قاعدة الأسماء'!B95</f>
        <v/>
      </c>
      <c r="C95" s="32" t="n">
        <v>6</v>
      </c>
      <c r="D95" s="32" t="n">
        <v>10</v>
      </c>
      <c r="E95" s="32" t="n">
        <v>8</v>
      </c>
      <c r="F95" s="32" t="n">
        <v>6</v>
      </c>
      <c r="G95" s="32" t="n">
        <v>9</v>
      </c>
      <c r="H95" s="32" t="n">
        <v>7</v>
      </c>
      <c r="I95" s="32" t="n">
        <v>8</v>
      </c>
      <c r="J95" s="32" t="n">
        <v>8</v>
      </c>
      <c r="K95" s="32" t="n">
        <v>6</v>
      </c>
      <c r="L95" s="32" t="n">
        <v>9</v>
      </c>
      <c r="M95" s="43">
        <f>IF(COUNT(C95:L95)=0,"",SUM(C95:L95))</f>
        <v/>
      </c>
      <c r="N95" s="44">
        <f>M95/100</f>
        <v/>
      </c>
      <c r="O95" s="45">
        <f>IF(M95="","",IF(M95&lt;50,"ضعيف",IF(M95&lt;75,"متوسط","ممتاز")))</f>
        <v/>
      </c>
      <c r="P95" s="73">
        <f>IF(M95="","",B95&amp;" – درجة: "&amp;TEXT(M95,"0.0")&amp;"/100 – "&amp;O95)</f>
        <v/>
      </c>
    </row>
    <row r="96" ht="20" customHeight="1">
      <c r="A96" s="46" t="n">
        <v>92</v>
      </c>
      <c r="B96" s="47">
        <f>'قاعدة الأسماء'!B96</f>
        <v/>
      </c>
      <c r="C96" s="48" t="n">
        <v>8</v>
      </c>
      <c r="D96" s="48" t="n">
        <v>9</v>
      </c>
      <c r="E96" s="48" t="n">
        <v>5</v>
      </c>
      <c r="F96" s="48" t="n">
        <v>5</v>
      </c>
      <c r="G96" s="48" t="n">
        <v>8</v>
      </c>
      <c r="H96" s="48" t="n">
        <v>6</v>
      </c>
      <c r="I96" s="48" t="n">
        <v>8</v>
      </c>
      <c r="J96" s="48" t="n">
        <v>5</v>
      </c>
      <c r="K96" s="48" t="n">
        <v>8</v>
      </c>
      <c r="L96" s="48" t="n">
        <v>7</v>
      </c>
      <c r="M96" s="49">
        <f>IF(COUNT(C96:L96)=0,"",SUM(C96:L96))</f>
        <v/>
      </c>
      <c r="N96" s="50">
        <f>M96/100</f>
        <v/>
      </c>
      <c r="O96" s="51">
        <f>IF(M96="","",IF(M96&lt;50,"ضعيف",IF(M96&lt;75,"متوسط","ممتاز")))</f>
        <v/>
      </c>
      <c r="P96" s="75">
        <f>IF(M96="","",B96&amp;" – درجة: "&amp;TEXT(M96,"0.0")&amp;"/100 – "&amp;O96)</f>
        <v/>
      </c>
    </row>
    <row r="97" ht="20" customHeight="1">
      <c r="A97" s="30" t="n">
        <v>93</v>
      </c>
      <c r="B97" s="31">
        <f>'قاعدة الأسماء'!B97</f>
        <v/>
      </c>
      <c r="C97" s="32" t="n">
        <v>8</v>
      </c>
      <c r="D97" s="32" t="n">
        <v>7</v>
      </c>
      <c r="E97" s="32" t="n">
        <v>9</v>
      </c>
      <c r="F97" s="32" t="n">
        <v>9</v>
      </c>
      <c r="G97" s="32" t="n">
        <v>9</v>
      </c>
      <c r="H97" s="32" t="n">
        <v>7</v>
      </c>
      <c r="I97" s="32" t="n">
        <v>7</v>
      </c>
      <c r="J97" s="32" t="n">
        <v>7</v>
      </c>
      <c r="K97" s="32" t="n">
        <v>9</v>
      </c>
      <c r="L97" s="32" t="n">
        <v>6</v>
      </c>
      <c r="M97" s="43">
        <f>IF(COUNT(C97:L97)=0,"",SUM(C97:L97))</f>
        <v/>
      </c>
      <c r="N97" s="44">
        <f>M97/100</f>
        <v/>
      </c>
      <c r="O97" s="45">
        <f>IF(M97="","",IF(M97&lt;50,"ضعيف",IF(M97&lt;75,"متوسط","ممتاز")))</f>
        <v/>
      </c>
      <c r="P97" s="73">
        <f>IF(M97="","",B97&amp;" – درجة: "&amp;TEXT(M97,"0.0")&amp;"/100 – "&amp;O97)</f>
        <v/>
      </c>
    </row>
    <row r="98" ht="20" customHeight="1">
      <c r="A98" s="46" t="n">
        <v>94</v>
      </c>
      <c r="B98" s="47">
        <f>'قاعدة الأسماء'!B98</f>
        <v/>
      </c>
      <c r="C98" s="48" t="n">
        <v>7</v>
      </c>
      <c r="D98" s="48" t="n">
        <v>8</v>
      </c>
      <c r="E98" s="48" t="n">
        <v>6</v>
      </c>
      <c r="F98" s="48" t="n">
        <v>8</v>
      </c>
      <c r="G98" s="48" t="n">
        <v>7</v>
      </c>
      <c r="H98" s="48" t="n">
        <v>7</v>
      </c>
      <c r="I98" s="48" t="n">
        <v>5</v>
      </c>
      <c r="J98" s="48" t="n">
        <v>8</v>
      </c>
      <c r="K98" s="48" t="n">
        <v>7</v>
      </c>
      <c r="L98" s="48" t="n">
        <v>6</v>
      </c>
      <c r="M98" s="49">
        <f>IF(COUNT(C98:L98)=0,"",SUM(C98:L98))</f>
        <v/>
      </c>
      <c r="N98" s="50">
        <f>M98/100</f>
        <v/>
      </c>
      <c r="O98" s="51">
        <f>IF(M98="","",IF(M98&lt;50,"ضعيف",IF(M98&lt;75,"متوسط","ممتاز")))</f>
        <v/>
      </c>
      <c r="P98" s="75">
        <f>IF(M98="","",B98&amp;" – درجة: "&amp;TEXT(M98,"0.0")&amp;"/100 – "&amp;O98)</f>
        <v/>
      </c>
    </row>
    <row r="99" ht="20" customHeight="1">
      <c r="A99" s="30" t="n">
        <v>95</v>
      </c>
      <c r="B99" s="31">
        <f>'قاعدة الأسماء'!B99</f>
        <v/>
      </c>
      <c r="C99" s="32" t="n">
        <v>9</v>
      </c>
      <c r="D99" s="32" t="n">
        <v>8</v>
      </c>
      <c r="E99" s="32" t="n">
        <v>6</v>
      </c>
      <c r="F99" s="32" t="n">
        <v>6</v>
      </c>
      <c r="G99" s="32" t="n">
        <v>10</v>
      </c>
      <c r="H99" s="32" t="n">
        <v>7</v>
      </c>
      <c r="I99" s="32" t="n">
        <v>7</v>
      </c>
      <c r="J99" s="32" t="n">
        <v>6</v>
      </c>
      <c r="K99" s="32" t="n">
        <v>7</v>
      </c>
      <c r="L99" s="32" t="n">
        <v>8</v>
      </c>
      <c r="M99" s="43">
        <f>IF(COUNT(C99:L99)=0,"",SUM(C99:L99))</f>
        <v/>
      </c>
      <c r="N99" s="44">
        <f>M99/100</f>
        <v/>
      </c>
      <c r="O99" s="45">
        <f>IF(M99="","",IF(M99&lt;50,"ضعيف",IF(M99&lt;75,"متوسط","ممتاز")))</f>
        <v/>
      </c>
      <c r="P99" s="73">
        <f>IF(M99="","",B99&amp;" – درجة: "&amp;TEXT(M99,"0.0")&amp;"/100 – "&amp;O99)</f>
        <v/>
      </c>
    </row>
    <row r="100" ht="20" customHeight="1">
      <c r="A100" s="46" t="n">
        <v>96</v>
      </c>
      <c r="B100" s="47">
        <f>'قاعدة الأسماء'!B100</f>
        <v/>
      </c>
      <c r="C100" s="48" t="n">
        <v>6</v>
      </c>
      <c r="D100" s="48" t="n">
        <v>8</v>
      </c>
      <c r="E100" s="48" t="n">
        <v>5</v>
      </c>
      <c r="F100" s="48" t="n">
        <v>6</v>
      </c>
      <c r="G100" s="48" t="n">
        <v>6</v>
      </c>
      <c r="H100" s="48" t="n">
        <v>5</v>
      </c>
      <c r="I100" s="48" t="n">
        <v>7</v>
      </c>
      <c r="J100" s="48" t="n">
        <v>5</v>
      </c>
      <c r="K100" s="48" t="n">
        <v>4</v>
      </c>
      <c r="L100" s="48" t="n">
        <v>5</v>
      </c>
      <c r="M100" s="49">
        <f>IF(COUNT(C100:L100)=0,"",SUM(C100:L100))</f>
        <v/>
      </c>
      <c r="N100" s="50">
        <f>M100/100</f>
        <v/>
      </c>
      <c r="O100" s="51">
        <f>IF(M100="","",IF(M100&lt;50,"ضعيف",IF(M100&lt;75,"متوسط","ممتاز")))</f>
        <v/>
      </c>
      <c r="P100" s="75">
        <f>IF(M100="","",B100&amp;" – درجة: "&amp;TEXT(M100,"0.0")&amp;"/100 – "&amp;O100)</f>
        <v/>
      </c>
    </row>
    <row r="101" ht="20" customHeight="1">
      <c r="A101" s="30" t="n">
        <v>97</v>
      </c>
      <c r="B101" s="31">
        <f>'قاعدة الأسماء'!B101</f>
        <v/>
      </c>
      <c r="C101" s="32" t="n">
        <v>6</v>
      </c>
      <c r="D101" s="32" t="n">
        <v>6</v>
      </c>
      <c r="E101" s="32" t="n">
        <v>4</v>
      </c>
      <c r="F101" s="32" t="n">
        <v>6</v>
      </c>
      <c r="G101" s="32" t="n">
        <v>6</v>
      </c>
      <c r="H101" s="32" t="n">
        <v>5</v>
      </c>
      <c r="I101" s="32" t="n">
        <v>6</v>
      </c>
      <c r="J101" s="32" t="n">
        <v>6</v>
      </c>
      <c r="K101" s="32" t="n">
        <v>6</v>
      </c>
      <c r="L101" s="32" t="n">
        <v>6</v>
      </c>
      <c r="M101" s="43">
        <f>IF(COUNT(C101:L101)=0,"",SUM(C101:L101))</f>
        <v/>
      </c>
      <c r="N101" s="44">
        <f>M101/100</f>
        <v/>
      </c>
      <c r="O101" s="45">
        <f>IF(M101="","",IF(M101&lt;50,"ضعيف",IF(M101&lt;75,"متوسط","ممتاز")))</f>
        <v/>
      </c>
      <c r="P101" s="73">
        <f>IF(M101="","",B101&amp;" – درجة: "&amp;TEXT(M101,"0.0")&amp;"/100 – "&amp;O101)</f>
        <v/>
      </c>
    </row>
    <row r="102" ht="20" customHeight="1">
      <c r="A102" s="46" t="n">
        <v>98</v>
      </c>
      <c r="B102" s="47">
        <f>'قاعدة الأسماء'!B102</f>
        <v/>
      </c>
      <c r="C102" s="48" t="n">
        <v>6</v>
      </c>
      <c r="D102" s="48" t="n">
        <v>5</v>
      </c>
      <c r="E102" s="48" t="n">
        <v>5</v>
      </c>
      <c r="F102" s="48" t="n">
        <v>5</v>
      </c>
      <c r="G102" s="48" t="n">
        <v>5</v>
      </c>
      <c r="H102" s="48" t="n">
        <v>5</v>
      </c>
      <c r="I102" s="48" t="n">
        <v>4</v>
      </c>
      <c r="J102" s="48" t="n">
        <v>4</v>
      </c>
      <c r="K102" s="48" t="n">
        <v>6</v>
      </c>
      <c r="L102" s="48" t="n">
        <v>5</v>
      </c>
      <c r="M102" s="49">
        <f>IF(COUNT(C102:L102)=0,"",SUM(C102:L102))</f>
        <v/>
      </c>
      <c r="N102" s="50">
        <f>M102/100</f>
        <v/>
      </c>
      <c r="O102" s="51">
        <f>IF(M102="","",IF(M102&lt;50,"ضعيف",IF(M102&lt;75,"متوسط","ممتاز")))</f>
        <v/>
      </c>
      <c r="P102" s="75">
        <f>IF(M102="","",B102&amp;" – درجة: "&amp;TEXT(M102,"0.0")&amp;"/100 – "&amp;O102)</f>
        <v/>
      </c>
    </row>
    <row r="103" ht="20" customHeight="1">
      <c r="A103" s="30" t="n">
        <v>99</v>
      </c>
      <c r="B103" s="31">
        <f>'قاعدة الأسماء'!B103</f>
        <v/>
      </c>
      <c r="C103" s="32" t="n">
        <v>7</v>
      </c>
      <c r="D103" s="32" t="n">
        <v>7</v>
      </c>
      <c r="E103" s="32" t="n">
        <v>4</v>
      </c>
      <c r="F103" s="32" t="n">
        <v>6</v>
      </c>
      <c r="G103" s="32" t="n">
        <v>5</v>
      </c>
      <c r="H103" s="32" t="n">
        <v>4</v>
      </c>
      <c r="I103" s="32" t="n">
        <v>6</v>
      </c>
      <c r="J103" s="32" t="n">
        <v>5</v>
      </c>
      <c r="K103" s="32" t="n">
        <v>6</v>
      </c>
      <c r="L103" s="32" t="n">
        <v>5</v>
      </c>
      <c r="M103" s="43">
        <f>IF(COUNT(C103:L103)=0,"",SUM(C103:L103))</f>
        <v/>
      </c>
      <c r="N103" s="44">
        <f>M103/100</f>
        <v/>
      </c>
      <c r="O103" s="45">
        <f>IF(M103="","",IF(M103&lt;50,"ضعيف",IF(M103&lt;75,"متوسط","ممتاز")))</f>
        <v/>
      </c>
      <c r="P103" s="73">
        <f>IF(M103="","",B103&amp;" – درجة: "&amp;TEXT(M103,"0.0")&amp;"/100 – "&amp;O103)</f>
        <v/>
      </c>
    </row>
    <row r="106" ht="32" customHeight="1">
      <c r="A106" s="52" t="inlineStr">
        <is>
          <t>التقرير والتحليل الإحصائي الختامي – Final Analytics &amp; Charts</t>
        </is>
      </c>
    </row>
    <row r="108" ht="24" customHeight="1">
      <c r="B108" s="53" t="inlineStr">
        <is>
          <t>المؤشرات العامة</t>
        </is>
      </c>
    </row>
    <row r="109" ht="20" customHeight="1">
      <c r="B109" s="54" t="inlineStr">
        <is>
          <t>المتوسط العام</t>
        </is>
      </c>
      <c r="D109" s="55">
        <f>IFERROR(AVERAGE(M5:M103),0)</f>
        <v/>
      </c>
    </row>
    <row r="110" ht="20" customHeight="1">
      <c r="B110" s="54" t="inlineStr">
        <is>
          <t>نسبة النجاح</t>
        </is>
      </c>
      <c r="D110" s="56">
        <f>IFERROR(COUNTIF(O5:O103,"&lt;&gt;ضعيف")/99,0)</f>
        <v/>
      </c>
    </row>
    <row r="111" ht="20" customHeight="1">
      <c r="B111" s="54" t="inlineStr">
        <is>
          <t>أعلى درجة</t>
        </is>
      </c>
      <c r="D111" s="57">
        <f>IFERROR(MAX(M5:M103),0)</f>
        <v/>
      </c>
    </row>
    <row r="112" ht="20" customHeight="1">
      <c r="B112" s="54" t="inlineStr">
        <is>
          <t>أعلى طالبة</t>
        </is>
      </c>
      <c r="D112" s="107">
        <f>IFERROR(INDEX(B5:B103,MATCH(MAX(M5:M103),M5:M103,0)),"—")</f>
        <v/>
      </c>
    </row>
    <row r="114" ht="24" customHeight="1">
      <c r="B114" s="58" t="inlineStr">
        <is>
          <t>توزيع مستويات الختامي</t>
        </is>
      </c>
    </row>
    <row r="115" ht="20" customHeight="1">
      <c r="B115" s="38" t="inlineStr">
        <is>
          <t>المستوى</t>
        </is>
      </c>
      <c r="C115" s="38" t="inlineStr">
        <is>
          <t>العدد</t>
        </is>
      </c>
      <c r="D115" s="38" t="inlineStr">
        <is>
          <t>النسبة%</t>
        </is>
      </c>
    </row>
    <row r="116" ht="22" customHeight="1">
      <c r="B116" s="59" t="inlineStr">
        <is>
          <t>ممتاز</t>
        </is>
      </c>
      <c r="C116" s="60">
        <f>COUNTIF(O5:O103,"ممتاز")</f>
        <v/>
      </c>
      <c r="D116" s="61">
        <f>C116/99</f>
        <v/>
      </c>
    </row>
    <row r="117" ht="22" customHeight="1">
      <c r="B117" s="62" t="inlineStr">
        <is>
          <t>متوسط</t>
        </is>
      </c>
      <c r="C117" s="60">
        <f>COUNTIF(O5:O103,"متوسط")</f>
        <v/>
      </c>
      <c r="D117" s="61">
        <f>C117/99</f>
        <v/>
      </c>
    </row>
    <row r="118" ht="22" customHeight="1">
      <c r="B118" s="63" t="inlineStr">
        <is>
          <t>ضعيف</t>
        </is>
      </c>
      <c r="C118" s="60">
        <f>COUNTIF(O5:O103,"ضعيف")</f>
        <v/>
      </c>
      <c r="D118" s="61">
        <f>C118/99</f>
        <v/>
      </c>
    </row>
    <row r="120" ht="28" customHeight="1">
      <c r="A120" s="64" t="inlineStr">
        <is>
          <t>مقارنة وتحليل متوسط درجات مهارات نافس في الاختبار النهائي</t>
        </is>
      </c>
    </row>
    <row r="122" ht="22" customHeight="1">
      <c r="B122" s="38" t="inlineStr">
        <is>
          <t>المهارة</t>
        </is>
      </c>
      <c r="C122" s="38" t="inlineStr">
        <is>
          <t>المتوسط</t>
        </is>
      </c>
      <c r="D122" s="38" t="inlineStr">
        <is>
          <t>التقييم</t>
        </is>
      </c>
    </row>
    <row r="123" ht="20" customHeight="1">
      <c r="B123" s="65">
        <f>'الواجهة الرئيسية'!B8</f>
        <v/>
      </c>
      <c r="C123" s="66">
        <f>IFERROR(AVERAGE(C5:C103),0)</f>
        <v/>
      </c>
      <c r="D123" s="67">
        <f>IF(C123&gt;=7.5,"نقطة قوة",IF(C123&gt;=5.0,"مستوى متوسط","تحتاج دعم"))</f>
        <v/>
      </c>
    </row>
    <row r="124" ht="20" customHeight="1">
      <c r="B124" s="68">
        <f>'الواجهة الرئيسية'!D8</f>
        <v/>
      </c>
      <c r="C124" s="69">
        <f>IFERROR(AVERAGE(D5:D103),0)</f>
        <v/>
      </c>
      <c r="D124" s="70">
        <f>IF(C124&gt;=7.5,"نقطة قوة",IF(C124&gt;=5.0,"مستوى متوسط","تحتاج دعم"))</f>
        <v/>
      </c>
    </row>
    <row r="125" ht="20" customHeight="1">
      <c r="B125" s="65">
        <f>'الواجهة الرئيسية'!F8</f>
        <v/>
      </c>
      <c r="C125" s="66">
        <f>IFERROR(AVERAGE(E5:E103),0)</f>
        <v/>
      </c>
      <c r="D125" s="67">
        <f>IF(C125&gt;=7.5,"نقطة قوة",IF(C125&gt;=5.0,"مستوى متوسط","تحتاج دعم"))</f>
        <v/>
      </c>
    </row>
    <row r="126" ht="20" customHeight="1">
      <c r="B126" s="68">
        <f>'الواجهة الرئيسية'!H8</f>
        <v/>
      </c>
      <c r="C126" s="69">
        <f>IFERROR(AVERAGE(F5:F103),0)</f>
        <v/>
      </c>
      <c r="D126" s="70">
        <f>IF(C126&gt;=7.5,"نقطة قوة",IF(C126&gt;=5.0,"مستوى متوسط","تحتاج دعم"))</f>
        <v/>
      </c>
    </row>
    <row r="127" ht="20" customHeight="1">
      <c r="B127" s="65">
        <f>'الواجهة الرئيسية'!J8</f>
        <v/>
      </c>
      <c r="C127" s="66">
        <f>IFERROR(AVERAGE(G5:G103),0)</f>
        <v/>
      </c>
      <c r="D127" s="67">
        <f>IF(C127&gt;=7.5,"نقطة قوة",IF(C127&gt;=5.0,"مستوى متوسط","تحتاج دعم"))</f>
        <v/>
      </c>
    </row>
    <row r="128" ht="20" customHeight="1">
      <c r="B128" s="68">
        <f>'الواجهة الرئيسية'!B20</f>
        <v/>
      </c>
      <c r="C128" s="69">
        <f>IFERROR(AVERAGE(H5:H103),0)</f>
        <v/>
      </c>
      <c r="D128" s="70">
        <f>IF(C128&gt;=7.5,"نقطة قوة",IF(C128&gt;=5.0,"مستوى متوسط","تحتاج دعم"))</f>
        <v/>
      </c>
    </row>
    <row r="129" ht="20" customHeight="1">
      <c r="B129" s="65">
        <f>'الواجهة الرئيسية'!D20</f>
        <v/>
      </c>
      <c r="C129" s="66">
        <f>IFERROR(AVERAGE(I5:I103),0)</f>
        <v/>
      </c>
      <c r="D129" s="67">
        <f>IF(C129&gt;=7.5,"نقطة قوة",IF(C129&gt;=5.0,"مستوى متوسط","تحتاج دعم"))</f>
        <v/>
      </c>
    </row>
    <row r="130" ht="20" customHeight="1">
      <c r="B130" s="68">
        <f>'الواجهة الرئيسية'!F20</f>
        <v/>
      </c>
      <c r="C130" s="69">
        <f>IFERROR(AVERAGE(J5:J103),0)</f>
        <v/>
      </c>
      <c r="D130" s="70">
        <f>IF(C130&gt;=7.5,"نقطة قوة",IF(C130&gt;=5.0,"مستوى متوسط","تحتاج دعم"))</f>
        <v/>
      </c>
    </row>
    <row r="131" ht="20" customHeight="1">
      <c r="B131" s="65">
        <f>'الواجهة الرئيسية'!H20</f>
        <v/>
      </c>
      <c r="C131" s="66">
        <f>IFERROR(AVERAGE(K5:K103),0)</f>
        <v/>
      </c>
      <c r="D131" s="67">
        <f>IF(C131&gt;=7.5,"نقطة قوة",IF(C131&gt;=5.0,"مستوى متوسط","تحتاج دعم"))</f>
        <v/>
      </c>
    </row>
    <row r="132" ht="20" customHeight="1">
      <c r="B132" s="68">
        <f>'الواجهة الرئيسية'!J20</f>
        <v/>
      </c>
      <c r="C132" s="69">
        <f>IFERROR(AVERAGE(L5:L103),0)</f>
        <v/>
      </c>
      <c r="D132" s="70">
        <f>IF(C132&gt;=7.5,"نقطة قوة",IF(C132&gt;=5.0,"مستوى متوسط","تحتاج دعم"))</f>
        <v/>
      </c>
    </row>
  </sheetData>
  <mergeCells count="10">
    <mergeCell ref="B109:C109"/>
    <mergeCell ref="B114:D114"/>
    <mergeCell ref="B108:D108"/>
    <mergeCell ref="B112:C112"/>
    <mergeCell ref="B111:C111"/>
    <mergeCell ref="A106:P106"/>
    <mergeCell ref="A120:P120"/>
    <mergeCell ref="A3:P3"/>
    <mergeCell ref="B110:C110"/>
    <mergeCell ref="A2:P2"/>
  </mergeCells>
  <conditionalFormatting sqref="O5:O103">
    <cfRule type="expression" priority="1" dxfId="0">
      <formula>=O5="ممتاز"</formula>
    </cfRule>
    <cfRule type="expression" priority="2" dxfId="1">
      <formula>=O5="متوسط"</formula>
    </cfRule>
    <cfRule type="expression" priority="3" dxfId="2">
      <formula>=O5="ضعيف"</formula>
    </cfRule>
  </conditionalFormatting>
  <conditionalFormatting sqref="C5:L103">
    <cfRule type="colorScale" priority="4">
      <colorScale>
        <cfvo type="num" val="0"/>
        <cfvo type="num" val="6"/>
        <cfvo type="num" val="10"/>
        <color rgb="00FF6B6B"/>
        <color rgb="00FFE66D"/>
        <color rgb="004ECDC4"/>
      </colorScale>
    </cfRule>
  </conditionalFormatting>
  <conditionalFormatting sqref="N5:N103">
    <cfRule type="colorScale" priority="5">
      <colorScale>
        <cfvo type="num" val="0"/>
        <cfvo type="num" val="0.6"/>
        <cfvo type="num" val="1"/>
        <color rgb="00FF6B6B"/>
        <color rgb="00FFE66D"/>
        <color rgb="004ECD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0D7377"/>
    <outlinePr summaryBelow="1" summaryRight="1"/>
    <pageSetUpPr fitToPage="1"/>
  </sheetPr>
  <dimension ref="A2:N26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2" customHeight="1"/>
    <row r="2" ht="55" customHeight="1">
      <c r="A2" s="27" t="inlineStr">
        <is>
          <t>لوحة التحليل الشاملة لمهارات نافس – Analytics Dashboard</t>
        </is>
      </c>
    </row>
    <row r="3" ht="30" customHeight="1">
      <c r="A3" s="108" t="inlineStr">
        <is>
          <t>تحليل شامل | نقاط القوة والضعف | فرص التحسين | أداء الطالبات</t>
        </is>
      </c>
    </row>
    <row r="4" ht="22" customHeight="1"/>
    <row r="5" ht="25" customHeight="1">
      <c r="A5" s="64" t="inlineStr">
        <is>
          <t>مؤشرات الأداء الرئيسية – KPIs</t>
        </is>
      </c>
    </row>
    <row r="6" ht="28" customHeight="1">
      <c r="B6" s="109" t="inlineStr">
        <is>
          <t>متوسط القبلي</t>
        </is>
      </c>
      <c r="D6" s="110" t="inlineStr">
        <is>
          <t>متوسط البعدي</t>
        </is>
      </c>
      <c r="F6" s="111" t="inlineStr">
        <is>
          <t>متوسط النهائي</t>
        </is>
      </c>
      <c r="H6" s="112" t="inlineStr">
        <is>
          <t>نسبة التحسن</t>
        </is>
      </c>
      <c r="J6" s="113" t="inlineStr">
        <is>
          <t>ممتازات القبلي</t>
        </is>
      </c>
      <c r="L6" s="114" t="inlineStr">
        <is>
          <t>ممتازات البعدي</t>
        </is>
      </c>
    </row>
    <row r="7" ht="40" customHeight="1">
      <c r="B7" s="115">
        <f>IFERROR(AVERAGE('الاختبار القبلي'!M6:M104),0)</f>
        <v/>
      </c>
      <c r="D7" s="116">
        <f>IFERROR(AVERAGE('الاختبار البعدي'!M6:M104),0)</f>
        <v/>
      </c>
      <c r="F7" s="117">
        <f>IFERROR(AVERAGE('الاختبار النهائي'!M5:M103),0)</f>
        <v/>
      </c>
      <c r="H7" s="118">
        <f>IFERROR((AVERAGE('الاختبار البعدي'!M6:M104)-AVERAGE('الاختبار القبلي'!M6:M104))/AVERAGE('الاختبار القبلي'!M6:M104),0)</f>
        <v/>
      </c>
      <c r="J7" s="119">
        <f>COUNTIF('الاختبار القبلي'!O6:O104,"ممتاز")</f>
        <v/>
      </c>
      <c r="L7" s="120">
        <f>COUNTIF('الاختبار البعدي'!O6:O104,"ممتاز")</f>
        <v/>
      </c>
    </row>
    <row r="8" ht="18" customHeight="1">
      <c r="B8" s="15" t="inlineStr"/>
      <c r="D8" s="15" t="inlineStr"/>
      <c r="F8" s="15" t="inlineStr"/>
      <c r="H8" s="15" t="inlineStr"/>
      <c r="J8" s="15" t="inlineStr"/>
      <c r="L8" s="15" t="inlineStr"/>
    </row>
    <row r="9" ht="22" customHeight="1"/>
    <row r="10" ht="22" customHeight="1"/>
    <row r="11" ht="22" customHeight="1"/>
    <row r="12" ht="25" customHeight="1">
      <c r="A12" s="121" t="inlineStr">
        <is>
          <t>تحليل الأداء لكل مهارة من مهارات نافس</t>
        </is>
      </c>
    </row>
    <row r="13" ht="22" customHeight="1">
      <c r="B13" s="122" t="inlineStr">
        <is>
          <t>المهارة</t>
        </is>
      </c>
      <c r="C13" s="122" t="inlineStr">
        <is>
          <t>متوسط القبلي</t>
        </is>
      </c>
      <c r="D13" s="122" t="inlineStr">
        <is>
          <t>متوسط البعدي</t>
        </is>
      </c>
      <c r="E13" s="122" t="inlineStr">
        <is>
          <t>متوسط النهائي</t>
        </is>
      </c>
      <c r="F13" s="122" t="inlineStr">
        <is>
          <t>الفرق</t>
        </is>
      </c>
      <c r="G13" s="122" t="inlineStr">
        <is>
          <t>نسبة التحسن</t>
        </is>
      </c>
      <c r="H13" s="122" t="inlineStr">
        <is>
          <t>نقطة القوة</t>
        </is>
      </c>
      <c r="I13" s="100" t="n"/>
      <c r="J13" s="122" t="inlineStr">
        <is>
          <t>فرصة التحسين</t>
        </is>
      </c>
      <c r="K13" s="123" t="n"/>
      <c r="L13" s="123" t="n"/>
      <c r="M13" s="123" t="n"/>
      <c r="N13" s="100" t="n"/>
    </row>
    <row r="14" ht="25" customHeight="1">
      <c r="B14" s="124">
        <f>'الواجهة الرئيسية'!B8</f>
        <v/>
      </c>
      <c r="C14" s="125">
        <f>IFERROR(AVERAGE('الاختبار القبلي'!C6:C104),0)</f>
        <v/>
      </c>
      <c r="D14" s="126">
        <f>IFERROR(AVERAGE('الاختبار البعدي'!C6:C104),0)</f>
        <v/>
      </c>
      <c r="E14" s="127">
        <f>IFERROR(AVERAGE('الاختبار النهائي'!C5:C103),0)</f>
        <v/>
      </c>
      <c r="F14" s="128">
        <f>IFERROR(D14-C14,0)</f>
        <v/>
      </c>
      <c r="G14" s="129">
        <f>IFERROR(IF(C14=0,0,(D14-C14)/C14),0)</f>
        <v/>
      </c>
      <c r="H14" s="67">
        <f>IF(D14&gt;7,"نقطة قوة","تحتاج تطوير")</f>
        <v/>
      </c>
      <c r="J14" s="130">
        <f>IF(F14&lt;0,"تراجع – خطة علاجية فورية",IF(G14&lt;0.2,"فرصة تحسين متاحة","أداء مرتفع – حافظي على المستوى"))</f>
        <v/>
      </c>
    </row>
    <row r="15" ht="25" customHeight="1">
      <c r="B15" s="131">
        <f>'الواجهة الرئيسية'!D8</f>
        <v/>
      </c>
      <c r="C15" s="132">
        <f>IFERROR(AVERAGE('الاختبار القبلي'!D6:D104),0)</f>
        <v/>
      </c>
      <c r="D15" s="133">
        <f>IFERROR(AVERAGE('الاختبار البعدي'!D6:D104),0)</f>
        <v/>
      </c>
      <c r="E15" s="134">
        <f>IFERROR(AVERAGE('الاختبار النهائي'!D5:D103),0)</f>
        <v/>
      </c>
      <c r="F15" s="135">
        <f>IFERROR(D15-C15,0)</f>
        <v/>
      </c>
      <c r="G15" s="94">
        <f>IFERROR(IF(C15=0,0,(D15-C15)/C15),0)</f>
        <v/>
      </c>
      <c r="H15" s="70">
        <f>IF(D15&gt;7,"نقطة قوة","تحتاج تطوير")</f>
        <v/>
      </c>
      <c r="J15" s="136">
        <f>IF(F15&lt;0,"تراجع – خطة علاجية فورية",IF(G15&lt;0.2,"فرصة تحسين متاحة","أداء مرتفع – حافظي على المستوى"))</f>
        <v/>
      </c>
    </row>
    <row r="16" ht="25" customHeight="1">
      <c r="B16" s="124">
        <f>'الواجهة الرئيسية'!F8</f>
        <v/>
      </c>
      <c r="C16" s="125">
        <f>IFERROR(AVERAGE('الاختبار القبلي'!E6:E104),0)</f>
        <v/>
      </c>
      <c r="D16" s="126">
        <f>IFERROR(AVERAGE('الاختبار البعدي'!E6:E104),0)</f>
        <v/>
      </c>
      <c r="E16" s="127">
        <f>IFERROR(AVERAGE('الاختبار النهائي'!E5:E103),0)</f>
        <v/>
      </c>
      <c r="F16" s="128">
        <f>IFERROR(D16-C16,0)</f>
        <v/>
      </c>
      <c r="G16" s="129">
        <f>IFERROR(IF(C16=0,0,(D16-C16)/C16),0)</f>
        <v/>
      </c>
      <c r="H16" s="67">
        <f>IF(D16&gt;7,"نقطة قوة","تحتاج تطوير")</f>
        <v/>
      </c>
      <c r="J16" s="130">
        <f>IF(F16&lt;0,"تراجع – خطة علاجية فورية",IF(G16&lt;0.2,"فرصة تحسين متاحة","أداء مرتفع – حافظي على المستوى"))</f>
        <v/>
      </c>
    </row>
    <row r="17" ht="25" customHeight="1">
      <c r="B17" s="131">
        <f>'الواجهة الرئيسية'!H8</f>
        <v/>
      </c>
      <c r="C17" s="132">
        <f>IFERROR(AVERAGE('الاختبار القبلي'!F6:F104),0)</f>
        <v/>
      </c>
      <c r="D17" s="133">
        <f>IFERROR(AVERAGE('الاختبار البعدي'!F6:F104),0)</f>
        <v/>
      </c>
      <c r="E17" s="134">
        <f>IFERROR(AVERAGE('الاختبار النهائي'!F5:F103),0)</f>
        <v/>
      </c>
      <c r="F17" s="135">
        <f>IFERROR(D17-C17,0)</f>
        <v/>
      </c>
      <c r="G17" s="94">
        <f>IFERROR(IF(C17=0,0,(D17-C17)/C17),0)</f>
        <v/>
      </c>
      <c r="H17" s="70">
        <f>IF(D17&gt;7,"نقطة قوة","تحتاج تطوير")</f>
        <v/>
      </c>
      <c r="J17" s="136">
        <f>IF(F17&lt;0,"تراجع – خطة علاجية فورية",IF(G17&lt;0.2,"فرصة تحسين متاحة","أداء مرتفع – حافظي على المستوى"))</f>
        <v/>
      </c>
    </row>
    <row r="18" ht="25" customHeight="1">
      <c r="B18" s="124">
        <f>'الواجهة الرئيسية'!J8</f>
        <v/>
      </c>
      <c r="C18" s="125">
        <f>IFERROR(AVERAGE('الاختبار القبلي'!G6:G104),0)</f>
        <v/>
      </c>
      <c r="D18" s="126">
        <f>IFERROR(AVERAGE('الاختبار البعدي'!G6:G104),0)</f>
        <v/>
      </c>
      <c r="E18" s="127">
        <f>IFERROR(AVERAGE('الاختبار النهائي'!G5:G103),0)</f>
        <v/>
      </c>
      <c r="F18" s="128">
        <f>IFERROR(D18-C18,0)</f>
        <v/>
      </c>
      <c r="G18" s="129">
        <f>IFERROR(IF(C18=0,0,(D18-C18)/C18),0)</f>
        <v/>
      </c>
      <c r="H18" s="67">
        <f>IF(D18&gt;7,"نقطة قوة","تحتاج تطوير")</f>
        <v/>
      </c>
      <c r="J18" s="130">
        <f>IF(F18&lt;0,"تراجع – خطة علاجية فورية",IF(G18&lt;0.2,"فرصة تحسين متاحة","أداء مرتفع – حافظي على المستوى"))</f>
        <v/>
      </c>
    </row>
    <row r="19" ht="25" customHeight="1">
      <c r="B19" s="131">
        <f>'الواجهة الرئيسية'!B20</f>
        <v/>
      </c>
      <c r="C19" s="132">
        <f>IFERROR(AVERAGE('الاختبار القبلي'!H6:H104),0)</f>
        <v/>
      </c>
      <c r="D19" s="133">
        <f>IFERROR(AVERAGE('الاختبار البعدي'!H6:H104),0)</f>
        <v/>
      </c>
      <c r="E19" s="134">
        <f>IFERROR(AVERAGE('الاختبار النهائي'!H5:H103),0)</f>
        <v/>
      </c>
      <c r="F19" s="135">
        <f>IFERROR(D19-C19,0)</f>
        <v/>
      </c>
      <c r="G19" s="94">
        <f>IFERROR(IF(C19=0,0,(D19-C19)/C19),0)</f>
        <v/>
      </c>
      <c r="H19" s="70">
        <f>IF(D19&gt;7,"نقطة قوة","تحتاج تطوير")</f>
        <v/>
      </c>
      <c r="J19" s="136">
        <f>IF(F19&lt;0,"تراجع – خطة علاجية فورية",IF(G19&lt;0.2,"فرصة تحسين متاحة","أداء مرتفع – حافظي على المستوى"))</f>
        <v/>
      </c>
    </row>
    <row r="20" ht="25" customHeight="1">
      <c r="B20" s="124">
        <f>'الواجهة الرئيسية'!D20</f>
        <v/>
      </c>
      <c r="C20" s="125">
        <f>IFERROR(AVERAGE('الاختبار القبلي'!I6:I104),0)</f>
        <v/>
      </c>
      <c r="D20" s="126">
        <f>IFERROR(AVERAGE('الاختبار البعدي'!I6:I104),0)</f>
        <v/>
      </c>
      <c r="E20" s="127">
        <f>IFERROR(AVERAGE('الاختبار النهائي'!I5:I103),0)</f>
        <v/>
      </c>
      <c r="F20" s="128">
        <f>IFERROR(D20-C20,0)</f>
        <v/>
      </c>
      <c r="G20" s="129">
        <f>IFERROR(IF(C20=0,0,(D20-C20)/C20),0)</f>
        <v/>
      </c>
      <c r="H20" s="67">
        <f>IF(D20&gt;7,"نقطة قوة","تحتاج تطوير")</f>
        <v/>
      </c>
      <c r="J20" s="130">
        <f>IF(F20&lt;0,"تراجع – خطة علاجية فورية",IF(G20&lt;0.2,"فرصة تحسين متاحة","أداء مرتفع – حافظي على المستوى"))</f>
        <v/>
      </c>
    </row>
    <row r="21" ht="25" customHeight="1">
      <c r="B21" s="131">
        <f>'الواجهة الرئيسية'!F20</f>
        <v/>
      </c>
      <c r="C21" s="132">
        <f>IFERROR(AVERAGE('الاختبار القبلي'!J6:J104),0)</f>
        <v/>
      </c>
      <c r="D21" s="133">
        <f>IFERROR(AVERAGE('الاختبار البعدي'!J6:J104),0)</f>
        <v/>
      </c>
      <c r="E21" s="134">
        <f>IFERROR(AVERAGE('الاختبار النهائي'!J5:J103),0)</f>
        <v/>
      </c>
      <c r="F21" s="135">
        <f>IFERROR(D21-C21,0)</f>
        <v/>
      </c>
      <c r="G21" s="94">
        <f>IFERROR(IF(C21=0,0,(D21-C21)/C21),0)</f>
        <v/>
      </c>
      <c r="H21" s="70">
        <f>IF(D21&gt;7,"نقطة قوة","تحتاج تطوير")</f>
        <v/>
      </c>
      <c r="J21" s="136">
        <f>IF(F21&lt;0,"تراجع – خطة علاجية فورية",IF(G21&lt;0.2,"فرصة تحسين متاحة","أداء مرتفع – حافظي على المستوى"))</f>
        <v/>
      </c>
    </row>
    <row r="22" ht="25" customHeight="1">
      <c r="B22" s="124">
        <f>'الواجهة الرئيسية'!H20</f>
        <v/>
      </c>
      <c r="C22" s="125">
        <f>IFERROR(AVERAGE('الاختبار القبلي'!K6:K104),0)</f>
        <v/>
      </c>
      <c r="D22" s="126">
        <f>IFERROR(AVERAGE('الاختبار البعدي'!K6:K104),0)</f>
        <v/>
      </c>
      <c r="E22" s="127">
        <f>IFERROR(AVERAGE('الاختبار النهائي'!K5:K103),0)</f>
        <v/>
      </c>
      <c r="F22" s="128">
        <f>IFERROR(D22-C22,0)</f>
        <v/>
      </c>
      <c r="G22" s="129">
        <f>IFERROR(IF(C22=0,0,(D22-C22)/C22),0)</f>
        <v/>
      </c>
      <c r="H22" s="67">
        <f>IF(D22&gt;7,"نقطة قوة","تحتاج تطوير")</f>
        <v/>
      </c>
      <c r="J22" s="130">
        <f>IF(F22&lt;0,"تراجع – خطة علاجية فورية",IF(G22&lt;0.2,"فرصة تحسين متاحة","أداء مرتفع – حافظي على المستوى"))</f>
        <v/>
      </c>
    </row>
    <row r="23" ht="25" customHeight="1">
      <c r="B23" s="131">
        <f>'الواجهة الرئيسية'!J20</f>
        <v/>
      </c>
      <c r="C23" s="132">
        <f>IFERROR(AVERAGE('الاختبار القبلي'!L6:L104),0)</f>
        <v/>
      </c>
      <c r="D23" s="133">
        <f>IFERROR(AVERAGE('الاختبار البعدي'!L6:L104),0)</f>
        <v/>
      </c>
      <c r="E23" s="134">
        <f>IFERROR(AVERAGE('الاختبار النهائي'!L5:L103),0)</f>
        <v/>
      </c>
      <c r="F23" s="135">
        <f>IFERROR(D23-C23,0)</f>
        <v/>
      </c>
      <c r="G23" s="94">
        <f>IFERROR(IF(C23=0,0,(D23-C23)/C23),0)</f>
        <v/>
      </c>
      <c r="H23" s="70">
        <f>IF(D23&gt;7,"نقطة قوة","تحتاج تطوير")</f>
        <v/>
      </c>
      <c r="J23" s="136">
        <f>IF(F23&lt;0,"تراجع – خطة علاجية فورية",IF(G23&lt;0.2,"فرصة تحسين متاحة","أداء مرتفع – حافظي على المستوى"))</f>
        <v/>
      </c>
    </row>
    <row r="24" ht="22" customHeight="1"/>
    <row r="25" ht="22" customHeight="1"/>
    <row r="26" ht="25" customHeight="1">
      <c r="A26" s="121" t="inlineStr">
        <is>
          <t>مخطط تطور الأداء عبر مهارات نافس العشر</t>
        </is>
      </c>
    </row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</sheetData>
  <mergeCells count="45">
    <mergeCell ref="J17:N17"/>
    <mergeCell ref="L7:M7"/>
    <mergeCell ref="B7:C7"/>
    <mergeCell ref="H20:I20"/>
    <mergeCell ref="J14:N14"/>
    <mergeCell ref="F6:G6"/>
    <mergeCell ref="J13:N13"/>
    <mergeCell ref="J19:N19"/>
    <mergeCell ref="F7:G7"/>
    <mergeCell ref="D6:E6"/>
    <mergeCell ref="H21:I21"/>
    <mergeCell ref="H6:I6"/>
    <mergeCell ref="J6:K6"/>
    <mergeCell ref="J15:N15"/>
    <mergeCell ref="L8:M8"/>
    <mergeCell ref="B8:C8"/>
    <mergeCell ref="F8:G8"/>
    <mergeCell ref="H17:I17"/>
    <mergeCell ref="A3:N3"/>
    <mergeCell ref="D7:E7"/>
    <mergeCell ref="A12:N12"/>
    <mergeCell ref="H16:I16"/>
    <mergeCell ref="J20:N20"/>
    <mergeCell ref="H7:I7"/>
    <mergeCell ref="A26:N26"/>
    <mergeCell ref="A2:N2"/>
    <mergeCell ref="J7:K7"/>
    <mergeCell ref="J16:N16"/>
    <mergeCell ref="H19:I19"/>
    <mergeCell ref="H22:I22"/>
    <mergeCell ref="A5:N5"/>
    <mergeCell ref="H13:I13"/>
    <mergeCell ref="H14:I14"/>
    <mergeCell ref="J22:N22"/>
    <mergeCell ref="D8:E8"/>
    <mergeCell ref="B6:C6"/>
    <mergeCell ref="J21:N21"/>
    <mergeCell ref="L6:M6"/>
    <mergeCell ref="H15:I15"/>
    <mergeCell ref="H18:I18"/>
    <mergeCell ref="H23:I23"/>
    <mergeCell ref="J18:N18"/>
    <mergeCell ref="H8:I8"/>
    <mergeCell ref="J8:K8"/>
    <mergeCell ref="J23:N23"/>
  </mergeCells>
  <conditionalFormatting sqref="F14:F23">
    <cfRule type="cellIs" priority="1" operator="greaterThan" dxfId="0">
      <formula>0</formula>
    </cfRule>
    <cfRule type="cellIs" priority="2" operator="lessThan" dxfId="2">
      <formula>0</formula>
    </cfRule>
  </conditionalFormatting>
  <pageMargins left="0.75" right="0.75" top="1" bottom="1" header="0.5" footer="0.5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2026-09-29T13:58:29Z</dcterms:created>
  <dcterms:modified xmlns:dcterms="http://purl.org/dc/terms/" xmlns:xsi="http://www.w3.org/2001/XMLSchema-instance" xsi:type="dcterms:W3CDTF">2026-09-29T13:58:31Z</dcterms:modified>
</cp:coreProperties>
</file>