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MY PROJECT\Freelance Jobs\Student absence recording system using barcodes and linking it to a file\"/>
    </mc:Choice>
  </mc:AlternateContent>
  <xr:revisionPtr revIDLastSave="0" documentId="13_ncr:1_{06C5878E-91AD-4C8B-B622-E57B1F5143BB}" xr6:coauthVersionLast="47" xr6:coauthVersionMax="47" xr10:uidLastSave="{00000000-0000-0000-0000-000000000000}"/>
  <bookViews>
    <workbookView xWindow="-108" yWindow="-108" windowWidth="23256" windowHeight="13176" firstSheet="3" activeTab="6" xr2:uid="{5094FE4E-3925-4415-92AC-5025075A6127}"/>
  </bookViews>
  <sheets>
    <sheet name="Chart2" sheetId="3" state="hidden" r:id="rId1"/>
    <sheet name="Chart1" sheetId="2" state="hidden" r:id="rId2"/>
    <sheet name="New XLS Worksheet" sheetId="1" state="hidden" r:id="rId3"/>
    <sheet name="Dashboard" sheetId="4" r:id="rId4"/>
    <sheet name="StudentsDB" sheetId="5" r:id="rId5"/>
    <sheet name="AttendanceLog" sheetId="6" r:id="rId6"/>
    <sheet name="ReportCard" sheetId="7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8" i="7" l="1"/>
  <c r="C5" i="7"/>
  <c r="C9" i="4"/>
  <c r="C11" i="4" s="1"/>
  <c r="C8" i="4"/>
  <c r="C10" i="4" l="1"/>
</calcChain>
</file>

<file path=xl/sharedStrings.xml><?xml version="1.0" encoding="utf-8"?>
<sst xmlns="http://schemas.openxmlformats.org/spreadsheetml/2006/main" count="41" uniqueCount="25">
  <si>
    <t>Barcode</t>
  </si>
  <si>
    <t>Student Name</t>
  </si>
  <si>
    <t>Date</t>
  </si>
  <si>
    <t>Time</t>
  </si>
  <si>
    <t>Attendance %</t>
  </si>
  <si>
    <t>Student Monthly Report Card</t>
  </si>
  <si>
    <t>Student Name:</t>
  </si>
  <si>
    <t>Barcode ID:</t>
  </si>
  <si>
    <t>Subject</t>
  </si>
  <si>
    <t>Grade</t>
  </si>
  <si>
    <t>Remarks</t>
  </si>
  <si>
    <t>Column1</t>
  </si>
  <si>
    <t>?? Automated Attendance Dashboard</t>
  </si>
  <si>
    <t>Scan Barcode Here ?</t>
  </si>
  <si>
    <t>System Status:</t>
  </si>
  <si>
    <t>Total Students</t>
  </si>
  <si>
    <t>Present Today</t>
  </si>
  <si>
    <t>Absent Today</t>
  </si>
  <si>
    <t>Ahmed Ali</t>
  </si>
  <si>
    <t>CLS-1</t>
  </si>
  <si>
    <t>Mohamed Hassan</t>
  </si>
  <si>
    <t>Omar Tarek</t>
  </si>
  <si>
    <t>Youssef Ibrahim</t>
  </si>
  <si>
    <t>CLS-2</t>
  </si>
  <si>
    <t>Mahmoud Karim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</si>
</sst>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5"/>
      <color rgb="FFFFFFFF"/>
      <name val="Calibri"/>
      <family val="2"/>
      <scheme val="minor"/>
    </font>
    <font>
      <sz val="8"/>
      <name val="Calibri"/>
      <family val="2"/>
      <scheme val="minor"/>
    </font>
  </fonts>
  <fills count="4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D9D9"/>
        <bgColor indexed="64"/>
      </patternFill>
    </fill>
    <fill>
      <patternFill patternType="solid">
        <fgColor rgb="FF1F376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FFFF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595959"/>
      </left>
      <right style="thin">
        <color rgb="FF595959"/>
      </right>
      <top style="thin">
        <color rgb="FF595959"/>
      </top>
      <bottom style="thin">
        <color rgb="FF595959"/>
      </bottom>
      <diagonal/>
    </border>
    <border>
      <left style="thin">
        <color rgb="FF595959"/>
      </left>
      <right style="thin">
        <color rgb="FF595959"/>
      </right>
      <top/>
      <bottom style="thin">
        <color rgb="FF595959"/>
      </bottom>
      <diagonal/>
    </border>
    <border>
      <left style="medium">
        <color rgb="FF1F3760"/>
      </left>
      <right style="medium">
        <color rgb="FF1F3760"/>
      </right>
      <top style="medium">
        <color rgb="FF1F3760"/>
      </top>
      <bottom style="medium">
        <color rgb="FF1F37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medium">
        <color indexed="64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C8C8C8"/>
      </left>
      <right style="medium">
        <color indexed="64"/>
      </right>
      <top style="thin">
        <color rgb="FFC8C8C8"/>
      </top>
      <bottom style="thin">
        <color rgb="FFC8C8C8"/>
      </bottom>
      <diagonal/>
    </border>
    <border>
      <left style="medium">
        <color indexed="64"/>
      </left>
      <right style="thin">
        <color rgb="FFC8C8C8"/>
      </right>
      <top style="thin">
        <color rgb="FFC8C8C8"/>
      </top>
      <bottom style="medium">
        <color indexed="64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medium">
        <color indexed="64"/>
      </bottom>
      <diagonal/>
    </border>
    <border>
      <left style="thin">
        <color rgb="FFC8C8C8"/>
      </left>
      <right style="medium">
        <color indexed="64"/>
      </right>
      <top style="thin">
        <color rgb="FFC8C8C8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rgb="FFC8C8C8"/>
      </bottom>
      <diagonal/>
    </border>
    <border>
      <left/>
      <right/>
      <top/>
      <bottom style="thin">
        <color rgb="FFC8C8C8"/>
      </bottom>
      <diagonal/>
    </border>
    <border>
      <left/>
      <right style="medium">
        <color indexed="64"/>
      </right>
      <top/>
      <bottom style="thin">
        <color rgb="FFC8C8C8"/>
      </bottom>
      <diagonal/>
    </border>
    <border>
      <left style="thin">
        <color indexed="64"/>
      </left>
      <right style="thin">
        <color auto="1"/>
      </right>
      <top style="thin">
        <color rgb="FFC8C8C8"/>
      </top>
      <bottom style="thin">
        <color rgb="FFC8C8C8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4">
    <xf numFmtId="0" fontId="0" fillId="0" borderId="0" xfId="0"/>
    <xf numFmtId="0" fontId="0" fillId="0" borderId="0" xfId="0" applyAlignment="1">
      <alignment horizontal="center"/>
    </xf>
    <xf numFmtId="0" fontId="18" fillId="34" borderId="10" xfId="0" applyFont="1" applyFill="1" applyBorder="1" applyAlignment="1">
      <alignment horizontal="center" vertical="center"/>
    </xf>
    <xf numFmtId="0" fontId="18" fillId="34" borderId="0" xfId="0" applyFont="1" applyFill="1" applyAlignment="1">
      <alignment horizontal="center"/>
    </xf>
    <xf numFmtId="0" fontId="18" fillId="34" borderId="11" xfId="0" applyFont="1" applyFill="1" applyBorder="1" applyAlignment="1">
      <alignment horizontal="center" vertical="center"/>
    </xf>
    <xf numFmtId="0" fontId="0" fillId="36" borderId="0" xfId="0" applyFill="1"/>
    <xf numFmtId="0" fontId="20" fillId="36" borderId="0" xfId="0" applyFont="1" applyFill="1" applyAlignment="1">
      <alignment horizontal="right" vertical="center"/>
    </xf>
    <xf numFmtId="0" fontId="21" fillId="37" borderId="12" xfId="0" applyFont="1" applyFill="1" applyBorder="1" applyAlignment="1">
      <alignment horizontal="center" vertical="center"/>
    </xf>
    <xf numFmtId="0" fontId="16" fillId="36" borderId="0" xfId="0" applyFont="1" applyFill="1" applyAlignment="1">
      <alignment horizontal="right"/>
    </xf>
    <xf numFmtId="0" fontId="0" fillId="38" borderId="13" xfId="0" applyFill="1" applyBorder="1" applyAlignment="1">
      <alignment horizontal="center"/>
    </xf>
    <xf numFmtId="0" fontId="22" fillId="39" borderId="13" xfId="0" applyFont="1" applyFill="1" applyBorder="1" applyAlignment="1">
      <alignment horizontal="center" vertical="center"/>
    </xf>
    <xf numFmtId="0" fontId="23" fillId="40" borderId="13" xfId="0" applyFont="1" applyFill="1" applyBorder="1" applyAlignment="1">
      <alignment horizontal="center" vertical="center"/>
    </xf>
    <xf numFmtId="9" fontId="23" fillId="40" borderId="13" xfId="0" applyNumberFormat="1" applyFont="1" applyFill="1" applyBorder="1" applyAlignment="1">
      <alignment horizontal="center" vertical="center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16" fillId="0" borderId="15" xfId="0" applyFont="1" applyBorder="1"/>
    <xf numFmtId="0" fontId="16" fillId="35" borderId="14" xfId="0" applyFont="1" applyFill="1" applyBorder="1" applyAlignment="1">
      <alignment horizontal="center"/>
    </xf>
    <xf numFmtId="0" fontId="16" fillId="0" borderId="14" xfId="0" applyFont="1" applyBorder="1" applyAlignment="1">
      <alignment horizontal="center"/>
    </xf>
    <xf numFmtId="0" fontId="16" fillId="33" borderId="26" xfId="0" applyFont="1" applyFill="1" applyBorder="1" applyAlignment="1">
      <alignment horizontal="center"/>
    </xf>
    <xf numFmtId="9" fontId="0" fillId="0" borderId="14" xfId="0" applyNumberFormat="1" applyBorder="1" applyAlignment="1">
      <alignment horizontal="center"/>
    </xf>
    <xf numFmtId="0" fontId="19" fillId="34" borderId="0" xfId="0" applyFont="1" applyFill="1" applyAlignment="1">
      <alignment horizontal="center" vertical="center"/>
    </xf>
    <xf numFmtId="0" fontId="24" fillId="34" borderId="20" xfId="0" applyFont="1" applyFill="1" applyBorder="1" applyAlignment="1">
      <alignment horizontal="center" vertical="center"/>
    </xf>
    <xf numFmtId="0" fontId="24" fillId="34" borderId="21" xfId="0" applyFont="1" applyFill="1" applyBorder="1" applyAlignment="1">
      <alignment horizontal="center" vertical="center"/>
    </xf>
    <xf numFmtId="0" fontId="24" fillId="34" borderId="22" xfId="0" applyFont="1" applyFill="1" applyBorder="1" applyAlignment="1">
      <alignment horizontal="center" vertical="center"/>
    </xf>
    <xf numFmtId="0" fontId="24" fillId="34" borderId="23" xfId="0" applyFont="1" applyFill="1" applyBorder="1" applyAlignment="1">
      <alignment horizontal="center" vertical="center"/>
    </xf>
    <xf numFmtId="0" fontId="24" fillId="34" borderId="24" xfId="0" applyFont="1" applyFill="1" applyBorder="1" applyAlignment="1">
      <alignment horizontal="center" vertical="center"/>
    </xf>
    <xf numFmtId="0" fontId="24" fillId="34" borderId="25" xfId="0" applyFont="1" applyFill="1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18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3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rgb="FF595959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rgb="FF59595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1F376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595959"/>
        </left>
        <right style="thin">
          <color rgb="FF595959"/>
        </right>
        <top/>
        <bottom/>
      </border>
    </dxf>
    <dxf>
      <alignment horizont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ont>
        <color rgb="FFFFFFFF"/>
      </font>
      <fill>
        <patternFill patternType="solid">
          <fgColor indexed="64"/>
          <bgColor rgb="FF1F3760"/>
        </patternFill>
      </fill>
      <alignment horizont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1.xml"/><Relationship Id="rId7" Type="http://schemas.openxmlformats.org/officeDocument/2006/relationships/worksheet" Target="worksheets/sheet5.xml"/><Relationship Id="rId12" Type="http://schemas.microsoft.com/office/2006/relationships/vbaProject" Target="vbaProject.bin"/><Relationship Id="rId2" Type="http://schemas.openxmlformats.org/officeDocument/2006/relationships/chartsheet" Target="chartsheets/sheet2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4.xml"/><Relationship Id="rId11" Type="http://schemas.openxmlformats.org/officeDocument/2006/relationships/calcChain" Target="calcChain.xml"/><Relationship Id="rId5" Type="http://schemas.openxmlformats.org/officeDocument/2006/relationships/worksheet" Target="worksheets/sheet3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2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82974911"/>
        <c:axId val="1217012559"/>
      </c:barChart>
      <c:catAx>
        <c:axId val="138297491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7012559"/>
        <c:crosses val="autoZero"/>
        <c:auto val="1"/>
        <c:lblAlgn val="ctr"/>
        <c:lblOffset val="100"/>
        <c:noMultiLvlLbl val="0"/>
      </c:catAx>
      <c:valAx>
        <c:axId val="12170125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9749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78853023"/>
        <c:axId val="1217007759"/>
      </c:barChart>
      <c:catAx>
        <c:axId val="137885302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7007759"/>
        <c:crosses val="autoZero"/>
        <c:auto val="1"/>
        <c:lblAlgn val="ctr"/>
        <c:lblOffset val="100"/>
        <c:noMultiLvlLbl val="0"/>
      </c:catAx>
      <c:valAx>
        <c:axId val="1217007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88530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5011C08-FFA8-424E-B926-262522356F65}">
  <sheetPr codeName="Chart1"/>
  <sheetViews>
    <sheetView zoomScale="103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3CF577-92AE-4106-9E3B-4ED8B8AC1270}">
  <sheetPr codeName="Chart2"/>
  <sheetViews>
    <sheetView zoomScale="10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3126" cy="628095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E737153-42F6-8C7B-FF3B-3F012035497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3126" cy="628095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AE83C0B-3D01-AC6C-412C-27E79A7F5953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236220</xdr:colOff>
      <xdr:row>2</xdr:row>
      <xdr:rowOff>60960</xdr:rowOff>
    </xdr:from>
    <xdr:to>
      <xdr:col>6</xdr:col>
      <xdr:colOff>492760</xdr:colOff>
      <xdr:row>4</xdr:row>
      <xdr:rowOff>139700</xdr:rowOff>
    </xdr:to>
    <xdr:sp macro="[0]!ExportReportToPDF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E14AAB0B-3CB5-508A-5E4C-48B8C6EBA384}"/>
            </a:ext>
          </a:extLst>
        </xdr:cNvPr>
        <xdr:cNvSpPr/>
      </xdr:nvSpPr>
      <xdr:spPr>
        <a:xfrm>
          <a:off x="5715000" y="571500"/>
          <a:ext cx="1270000" cy="444500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Export PDF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4D2E3AC-8DCF-4ACB-AF73-BAD083E1C930}" name="tblStudents" displayName="tblStudents" ref="A1:C6" totalsRowShown="0" headerRowDxfId="12" dataDxfId="11">
  <autoFilter ref="A1:C6" xr:uid="{44D2E3AC-8DCF-4ACB-AF73-BAD083E1C930}"/>
  <tableColumns count="3">
    <tableColumn id="1" xr3:uid="{EC2C1729-82E4-45F4-8770-6A31B851E1F6}" name="Barcode" dataDxfId="10"/>
    <tableColumn id="2" xr3:uid="{30FFEAFF-7E1F-4A71-9877-5B564A171A66}" name="Student Name" dataDxfId="9"/>
    <tableColumn id="3" xr3:uid="{EDC47194-6E87-449B-84AE-C7F97A181ADB}" name="Column1" dataDxfId="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65558DA-1CE2-4D43-A2A6-2C42EC0B9A30}" name="tblAttendance" displayName="tblAttendance" ref="A1:D10" totalsRowShown="0" headerRowDxfId="7" dataDxfId="5" headerRowBorderDxfId="6" tableBorderDxfId="4">
  <autoFilter ref="A1:D10" xr:uid="{865558DA-1CE2-4D43-A2A6-2C42EC0B9A30}"/>
  <tableColumns count="4">
    <tableColumn id="1" xr3:uid="{0F5B8143-B7FE-4BEA-87DD-6F5CC40759CC}" name="Barcode" dataDxfId="3"/>
    <tableColumn id="2" xr3:uid="{C514E098-35B2-4366-94FE-F465745B4FF8}" name="Student Name" dataDxfId="2"/>
    <tableColumn id="3" xr3:uid="{957414B8-897A-4277-A127-42F5946D0399}" name="Date" dataDxfId="1"/>
    <tableColumn id="4" xr3:uid="{0011B942-AF81-4FAA-8694-F91EF0343C6C}" name="Time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18B4AC-6062-47AF-8095-0DB0AD995194}">
  <sheetPr codeName="Sheet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8A81C2-833A-4418-B824-6CE0EF91BFA4}">
  <sheetPr codeName="Sheet4"/>
  <dimension ref="B2:C11"/>
  <sheetViews>
    <sheetView showGridLines="0" workbookViewId="0">
      <selection activeCell="C5" sqref="C5"/>
    </sheetView>
  </sheetViews>
  <sheetFormatPr defaultRowHeight="14.4" x14ac:dyDescent="0.3"/>
  <cols>
    <col min="1" max="1" width="15.77734375" style="5" customWidth="1"/>
    <col min="2" max="3" width="22.77734375" style="5" customWidth="1"/>
    <col min="4" max="5" width="16.77734375" style="5" customWidth="1"/>
    <col min="6" max="6" width="12.77734375" style="5" customWidth="1"/>
    <col min="7" max="16384" width="8.88671875" style="5"/>
  </cols>
  <sheetData>
    <row r="2" spans="2:3" ht="31.95" customHeight="1" x14ac:dyDescent="0.3">
      <c r="B2" s="24" t="s">
        <v>12</v>
      </c>
      <c r="C2" s="24"/>
    </row>
    <row r="3" spans="2:3" x14ac:dyDescent="0.3">
      <c r="B3" s="24"/>
      <c r="C3" s="24"/>
    </row>
    <row r="4" spans="2:3" ht="15" thickBot="1" x14ac:dyDescent="0.35"/>
    <row r="5" spans="2:3" ht="30" customHeight="1" thickBot="1" x14ac:dyDescent="0.35">
      <c r="B5" s="6" t="s">
        <v>13</v>
      </c>
      <c r="C5" s="7"/>
    </row>
    <row r="6" spans="2:3" x14ac:dyDescent="0.3">
      <c r="B6" s="8" t="s">
        <v>14</v>
      </c>
      <c r="C6" s="9"/>
    </row>
    <row r="8" spans="2:3" ht="22.05" customHeight="1" x14ac:dyDescent="0.3">
      <c r="B8" s="10" t="s">
        <v>15</v>
      </c>
      <c r="C8" s="11">
        <f>COUNTA(tblStudents[Barcode])</f>
        <v>5</v>
      </c>
    </row>
    <row r="9" spans="2:3" ht="22.05" customHeight="1" x14ac:dyDescent="0.3">
      <c r="B9" s="10" t="s">
        <v>16</v>
      </c>
      <c r="C9" s="11">
        <f ca="1">IFERROR(COUNTA(_xlfn.UNIQUE(_xlfn._xlws.FILTER(tblAttendance[Barcode],tblAttendance[Date]=TODAY()))),0)</f>
        <v>3</v>
      </c>
    </row>
    <row r="10" spans="2:3" ht="22.05" customHeight="1" x14ac:dyDescent="0.3">
      <c r="B10" s="10" t="s">
        <v>17</v>
      </c>
      <c r="C10" s="11">
        <f ca="1">C8-C9</f>
        <v>2</v>
      </c>
    </row>
    <row r="11" spans="2:3" ht="22.05" customHeight="1" x14ac:dyDescent="0.3">
      <c r="B11" s="10" t="s">
        <v>4</v>
      </c>
      <c r="C11" s="12">
        <f ca="1">IFERROR(C9/C8,0)</f>
        <v>0.6</v>
      </c>
    </row>
  </sheetData>
  <mergeCells count="1">
    <mergeCell ref="B2:C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4E1296-8443-483E-B863-5DD8E3D8FF7A}">
  <sheetPr codeName="Sheet5"/>
  <dimension ref="A1:C6"/>
  <sheetViews>
    <sheetView showGridLines="0" workbookViewId="0">
      <selection activeCell="D35" sqref="D35"/>
    </sheetView>
  </sheetViews>
  <sheetFormatPr defaultRowHeight="14.4" x14ac:dyDescent="0.3"/>
  <cols>
    <col min="1" max="3" width="20.77734375" style="1" customWidth="1"/>
  </cols>
  <sheetData>
    <row r="1" spans="1:3" x14ac:dyDescent="0.3">
      <c r="A1" s="2" t="s">
        <v>0</v>
      </c>
      <c r="B1" s="2" t="s">
        <v>1</v>
      </c>
      <c r="C1" s="3" t="s">
        <v>11</v>
      </c>
    </row>
    <row r="2" spans="1:3" x14ac:dyDescent="0.3">
      <c r="A2" s="1">
        <v>1001</v>
      </c>
      <c r="B2" s="1" t="s">
        <v>18</v>
      </c>
      <c r="C2" s="1" t="s">
        <v>19</v>
      </c>
    </row>
    <row r="3" spans="1:3" x14ac:dyDescent="0.3">
      <c r="A3" s="1">
        <v>1002</v>
      </c>
      <c r="B3" s="1" t="s">
        <v>20</v>
      </c>
      <c r="C3" s="1" t="s">
        <v>19</v>
      </c>
    </row>
    <row r="4" spans="1:3" x14ac:dyDescent="0.3">
      <c r="A4" s="1">
        <v>1003</v>
      </c>
      <c r="B4" s="1" t="s">
        <v>21</v>
      </c>
      <c r="C4" s="1" t="s">
        <v>19</v>
      </c>
    </row>
    <row r="5" spans="1:3" x14ac:dyDescent="0.3">
      <c r="A5" s="1">
        <v>1004</v>
      </c>
      <c r="B5" s="1" t="s">
        <v>22</v>
      </c>
      <c r="C5" s="1" t="s">
        <v>23</v>
      </c>
    </row>
    <row r="6" spans="1:3" x14ac:dyDescent="0.3">
      <c r="A6" s="1">
        <v>1005</v>
      </c>
      <c r="B6" s="1" t="s">
        <v>24</v>
      </c>
      <c r="C6" s="1" t="s">
        <v>23</v>
      </c>
    </row>
  </sheetData>
  <phoneticPr fontId="25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E477C-F2AF-4AAA-A167-9A2F06A62F7A}">
  <sheetPr codeName="Sheet6"/>
  <dimension ref="A1:D10"/>
  <sheetViews>
    <sheetView showGridLines="0" workbookViewId="0">
      <selection activeCell="B30" sqref="B30"/>
    </sheetView>
  </sheetViews>
  <sheetFormatPr defaultRowHeight="14.4" x14ac:dyDescent="0.3"/>
  <cols>
    <col min="1" max="4" width="20.77734375" style="1" customWidth="1"/>
  </cols>
  <sheetData>
    <row r="1" spans="1:4" x14ac:dyDescent="0.3">
      <c r="A1" s="4" t="s">
        <v>0</v>
      </c>
      <c r="B1" s="4" t="s">
        <v>1</v>
      </c>
      <c r="C1" s="4" t="s">
        <v>2</v>
      </c>
      <c r="D1" s="4" t="s">
        <v>3</v>
      </c>
    </row>
    <row r="2" spans="1:4" x14ac:dyDescent="0.3">
      <c r="A2" s="1">
        <v>1001</v>
      </c>
      <c r="B2" s="1" t="s">
        <v>18</v>
      </c>
      <c r="C2" s="31">
        <v>46264</v>
      </c>
      <c r="D2" s="32">
        <v>0.33333333333333331</v>
      </c>
    </row>
    <row r="3" spans="1:4" x14ac:dyDescent="0.3">
      <c r="A3" s="1">
        <v>1002</v>
      </c>
      <c r="B3" s="1" t="s">
        <v>20</v>
      </c>
      <c r="C3" s="31">
        <v>46264</v>
      </c>
      <c r="D3" s="32">
        <v>0.33680555555555558</v>
      </c>
    </row>
    <row r="4" spans="1:4" x14ac:dyDescent="0.3">
      <c r="A4" s="1">
        <v>1003</v>
      </c>
      <c r="B4" s="1" t="s">
        <v>21</v>
      </c>
      <c r="C4" s="31">
        <v>46264</v>
      </c>
      <c r="D4" s="32">
        <v>0.34027777777777779</v>
      </c>
    </row>
    <row r="5" spans="1:4" x14ac:dyDescent="0.3">
      <c r="A5" s="1">
        <v>1001</v>
      </c>
      <c r="B5" s="1" t="s">
        <v>18</v>
      </c>
      <c r="C5" s="31">
        <v>46265</v>
      </c>
      <c r="D5" s="32">
        <v>0.3347222222222222</v>
      </c>
    </row>
    <row r="6" spans="1:4" x14ac:dyDescent="0.3">
      <c r="A6" s="1">
        <v>1002</v>
      </c>
      <c r="B6" s="1" t="s">
        <v>20</v>
      </c>
      <c r="C6" s="31">
        <v>46265</v>
      </c>
      <c r="D6" s="32">
        <v>0.33611111111111114</v>
      </c>
    </row>
    <row r="7" spans="1:4" x14ac:dyDescent="0.3">
      <c r="A7" s="1">
        <v>1001</v>
      </c>
      <c r="B7" s="1" t="s">
        <v>18</v>
      </c>
      <c r="C7" s="31">
        <v>46266</v>
      </c>
      <c r="D7" s="32">
        <v>0.33402777777777776</v>
      </c>
    </row>
    <row r="8" spans="1:4" x14ac:dyDescent="0.3">
      <c r="A8" s="1">
        <v>1001</v>
      </c>
      <c r="B8" s="1" t="s">
        <v>18</v>
      </c>
      <c r="C8" s="31">
        <v>46266</v>
      </c>
      <c r="D8" s="33">
        <v>0.78440972222222227</v>
      </c>
    </row>
    <row r="9" spans="1:4" x14ac:dyDescent="0.3">
      <c r="A9" s="1">
        <v>1002</v>
      </c>
      <c r="B9" s="1" t="s">
        <v>20</v>
      </c>
      <c r="C9" s="31">
        <v>46266</v>
      </c>
      <c r="D9" s="33">
        <v>0.78440972222222227</v>
      </c>
    </row>
    <row r="10" spans="1:4" x14ac:dyDescent="0.3">
      <c r="A10" s="1">
        <v>1003</v>
      </c>
      <c r="B10" s="1" t="s">
        <v>21</v>
      </c>
      <c r="C10" s="31">
        <v>46266</v>
      </c>
      <c r="D10" s="33">
        <v>0.78440972222222227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5E072-74E0-470F-9066-BF70A259972D}">
  <sheetPr codeName="Sheet7"/>
  <dimension ref="B1:E28"/>
  <sheetViews>
    <sheetView showGridLines="0" tabSelected="1" workbookViewId="0">
      <selection activeCell="C5" sqref="C5"/>
    </sheetView>
  </sheetViews>
  <sheetFormatPr defaultRowHeight="14.4" x14ac:dyDescent="0.3"/>
  <cols>
    <col min="1" max="1" width="8.77734375" customWidth="1"/>
    <col min="2" max="2" width="16.77734375" customWidth="1"/>
    <col min="3" max="3" width="22.77734375" customWidth="1"/>
    <col min="4" max="4" width="14.77734375" customWidth="1"/>
    <col min="5" max="5" width="16.77734375" customWidth="1"/>
    <col min="6" max="6" width="14.77734375" customWidth="1"/>
  </cols>
  <sheetData>
    <row r="1" spans="2:5" ht="25.95" customHeight="1" x14ac:dyDescent="0.3">
      <c r="B1" s="25" t="s">
        <v>5</v>
      </c>
      <c r="C1" s="26"/>
      <c r="D1" s="26"/>
      <c r="E1" s="27"/>
    </row>
    <row r="2" spans="2:5" x14ac:dyDescent="0.3">
      <c r="B2" s="28"/>
      <c r="C2" s="29"/>
      <c r="D2" s="29"/>
      <c r="E2" s="30"/>
    </row>
    <row r="3" spans="2:5" x14ac:dyDescent="0.3">
      <c r="B3" s="14"/>
      <c r="C3" s="13"/>
      <c r="D3" s="13"/>
      <c r="E3" s="15"/>
    </row>
    <row r="4" spans="2:5" x14ac:dyDescent="0.3">
      <c r="B4" s="19" t="s">
        <v>6</v>
      </c>
      <c r="C4" s="20" t="s">
        <v>18</v>
      </c>
      <c r="D4" s="13"/>
      <c r="E4" s="15"/>
    </row>
    <row r="5" spans="2:5" x14ac:dyDescent="0.3">
      <c r="B5" s="19" t="s">
        <v>7</v>
      </c>
      <c r="C5" s="21">
        <f>IFERROR(INDEX(StudentsDB!A:A, MATCH(C4, StudentsDB!B:B, 0)), "-")</f>
        <v>1001</v>
      </c>
      <c r="D5" s="13"/>
      <c r="E5" s="15"/>
    </row>
    <row r="6" spans="2:5" x14ac:dyDescent="0.3">
      <c r="B6" s="14"/>
      <c r="C6" s="13"/>
      <c r="D6" s="13"/>
      <c r="E6" s="15"/>
    </row>
    <row r="7" spans="2:5" x14ac:dyDescent="0.3">
      <c r="B7" s="22" t="s">
        <v>8</v>
      </c>
      <c r="C7" s="22" t="s">
        <v>4</v>
      </c>
      <c r="D7" s="22" t="s">
        <v>9</v>
      </c>
      <c r="E7" s="22" t="s">
        <v>10</v>
      </c>
    </row>
    <row r="8" spans="2:5" x14ac:dyDescent="0.3">
      <c r="B8" s="14"/>
      <c r="C8" s="23">
        <f>IF(C4="","",IFERROR(COUNTIF(tblAttendance[Student Name], C4) / COUNTA(_xlfn.UNIQUE(tblAttendance[Date])), 0))</f>
        <v>1.3333333333333333</v>
      </c>
      <c r="D8" s="13"/>
      <c r="E8" s="15"/>
    </row>
    <row r="9" spans="2:5" x14ac:dyDescent="0.3">
      <c r="B9" s="14"/>
      <c r="C9" s="13"/>
      <c r="D9" s="13"/>
      <c r="E9" s="15"/>
    </row>
    <row r="10" spans="2:5" x14ac:dyDescent="0.3">
      <c r="B10" s="14"/>
      <c r="C10" s="13"/>
      <c r="D10" s="13"/>
      <c r="E10" s="15"/>
    </row>
    <row r="11" spans="2:5" x14ac:dyDescent="0.3">
      <c r="B11" s="14"/>
      <c r="C11" s="13"/>
      <c r="D11" s="13"/>
      <c r="E11" s="15"/>
    </row>
    <row r="12" spans="2:5" x14ac:dyDescent="0.3">
      <c r="B12" s="14"/>
      <c r="C12" s="13"/>
      <c r="D12" s="13"/>
      <c r="E12" s="15"/>
    </row>
    <row r="13" spans="2:5" x14ac:dyDescent="0.3">
      <c r="B13" s="14"/>
      <c r="C13" s="13"/>
      <c r="D13" s="13"/>
      <c r="E13" s="15"/>
    </row>
    <row r="14" spans="2:5" x14ac:dyDescent="0.3">
      <c r="B14" s="14"/>
      <c r="C14" s="13"/>
      <c r="D14" s="13"/>
      <c r="E14" s="15"/>
    </row>
    <row r="15" spans="2:5" x14ac:dyDescent="0.3">
      <c r="B15" s="14"/>
      <c r="C15" s="13"/>
      <c r="D15" s="13"/>
      <c r="E15" s="15"/>
    </row>
    <row r="16" spans="2:5" x14ac:dyDescent="0.3">
      <c r="B16" s="14"/>
      <c r="C16" s="13"/>
      <c r="D16" s="13"/>
      <c r="E16" s="15"/>
    </row>
    <row r="17" spans="2:5" x14ac:dyDescent="0.3">
      <c r="B17" s="14"/>
      <c r="C17" s="13"/>
      <c r="D17" s="13"/>
      <c r="E17" s="15"/>
    </row>
    <row r="18" spans="2:5" x14ac:dyDescent="0.3">
      <c r="B18" s="14"/>
      <c r="C18" s="13"/>
      <c r="D18" s="13"/>
      <c r="E18" s="15"/>
    </row>
    <row r="19" spans="2:5" x14ac:dyDescent="0.3">
      <c r="B19" s="14"/>
      <c r="C19" s="13"/>
      <c r="D19" s="13"/>
      <c r="E19" s="15"/>
    </row>
    <row r="20" spans="2:5" x14ac:dyDescent="0.3">
      <c r="B20" s="14"/>
      <c r="C20" s="13"/>
      <c r="D20" s="13"/>
      <c r="E20" s="15"/>
    </row>
    <row r="21" spans="2:5" x14ac:dyDescent="0.3">
      <c r="B21" s="14"/>
      <c r="C21" s="13"/>
      <c r="D21" s="13"/>
      <c r="E21" s="15"/>
    </row>
    <row r="22" spans="2:5" x14ac:dyDescent="0.3">
      <c r="B22" s="14"/>
      <c r="C22" s="13"/>
      <c r="D22" s="13"/>
      <c r="E22" s="15"/>
    </row>
    <row r="23" spans="2:5" x14ac:dyDescent="0.3">
      <c r="B23" s="14"/>
      <c r="C23" s="13"/>
      <c r="D23" s="13"/>
      <c r="E23" s="15"/>
    </row>
    <row r="24" spans="2:5" x14ac:dyDescent="0.3">
      <c r="B24" s="14"/>
      <c r="C24" s="13"/>
      <c r="D24" s="13"/>
      <c r="E24" s="15"/>
    </row>
    <row r="25" spans="2:5" x14ac:dyDescent="0.3">
      <c r="B25" s="14"/>
      <c r="C25" s="13"/>
      <c r="D25" s="13"/>
      <c r="E25" s="15"/>
    </row>
    <row r="26" spans="2:5" x14ac:dyDescent="0.3">
      <c r="B26" s="14"/>
      <c r="C26" s="13"/>
      <c r="D26" s="13"/>
      <c r="E26" s="15"/>
    </row>
    <row r="27" spans="2:5" x14ac:dyDescent="0.3">
      <c r="B27" s="14"/>
      <c r="C27" s="13"/>
      <c r="D27" s="13"/>
      <c r="E27" s="15"/>
    </row>
    <row r="28" spans="2:5" ht="15" thickBot="1" x14ac:dyDescent="0.35">
      <c r="B28" s="16"/>
      <c r="C28" s="17"/>
      <c r="D28" s="17"/>
      <c r="E28" s="18"/>
    </row>
  </sheetData>
  <mergeCells count="1">
    <mergeCell ref="B1:E2"/>
  </mergeCells>
  <printOptions horizontalCentered="1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Charts</vt:lpstr>
      </vt:variant>
      <vt:variant>
        <vt:i4>2</vt:i4>
      </vt:variant>
    </vt:vector>
  </HeadingPairs>
  <TitlesOfParts>
    <vt:vector size="7" baseType="lpstr">
      <vt:lpstr>New XLS Worksheet</vt:lpstr>
      <vt:lpstr>Dashboard</vt:lpstr>
      <vt:lpstr>StudentsDB</vt:lpstr>
      <vt:lpstr>AttendanceLog</vt:lpstr>
      <vt:lpstr>ReportCard</vt:lpstr>
      <vt:lpstr>Chart2</vt:lpstr>
      <vt:lpstr>Chart1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Abdelrahman Wael Mohamed Salman Soliman</dc:creator>
  <cp:lastModifiedBy>Abdelrahman Wael Mohamed Salman Soliman</cp:lastModifiedBy>
  <cp:lastPrinted>2026-09-01T15:49:41Z</cp:lastPrinted>
  <dcterms:created xsi:type="dcterms:W3CDTF">2026-09-01T11:34:29Z</dcterms:created>
  <dcterms:modified xsi:type="dcterms:W3CDTF">2026-09-01T15:49:54Z</dcterms:modified>
</cp:coreProperties>
</file>